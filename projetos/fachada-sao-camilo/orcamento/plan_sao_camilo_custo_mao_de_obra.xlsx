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ell Gamer\Desktop\"/>
    </mc:Choice>
  </mc:AlternateContent>
  <xr:revisionPtr revIDLastSave="0" documentId="13_ncr:1_{1BE6DFC5-34A6-4476-8ACD-ADBCEE9509BB}" xr6:coauthVersionLast="47" xr6:coauthVersionMax="47" xr10:uidLastSave="{00000000-0000-0000-0000-000000000000}"/>
  <bookViews>
    <workbookView xWindow="-108" yWindow="-108" windowWidth="23256" windowHeight="12456" xr2:uid="{39E55944-3A42-476F-B0B4-9F1658E28F4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5" i="1" l="1"/>
  <c r="K7" i="1"/>
  <c r="K69" i="1"/>
  <c r="K67" i="1"/>
  <c r="K38" i="1"/>
  <c r="K39" i="1"/>
  <c r="K37" i="1"/>
  <c r="K32" i="1"/>
  <c r="K31" i="1"/>
  <c r="K30" i="1"/>
  <c r="K29" i="1"/>
  <c r="K26" i="1"/>
  <c r="K25" i="1"/>
  <c r="K24" i="1"/>
  <c r="K22" i="1"/>
  <c r="K18" i="1"/>
  <c r="K4" i="1"/>
  <c r="K8" i="1"/>
  <c r="K21" i="1"/>
  <c r="K51" i="1"/>
  <c r="K61" i="1"/>
  <c r="K70" i="1"/>
  <c r="K68" i="1"/>
  <c r="K66" i="1"/>
  <c r="K65" i="1"/>
  <c r="K64" i="1"/>
  <c r="G57" i="1"/>
  <c r="J57" i="1" s="1"/>
  <c r="K57" i="1"/>
  <c r="K56" i="1" s="1"/>
  <c r="K48" i="1"/>
  <c r="K47" i="1" s="1"/>
  <c r="K45" i="1"/>
  <c r="K44" i="1" s="1"/>
  <c r="K40" i="1"/>
  <c r="K42" i="1"/>
  <c r="K41" i="1"/>
  <c r="K33" i="1"/>
  <c r="K9" i="1"/>
  <c r="K20" i="1"/>
  <c r="K19" i="1"/>
  <c r="K17" i="1"/>
  <c r="K16" i="1"/>
  <c r="K15" i="1"/>
  <c r="K13" i="1"/>
  <c r="K11" i="1"/>
  <c r="O11" i="1"/>
  <c r="K36" i="1" l="1"/>
  <c r="K63" i="1"/>
  <c r="K3" i="1"/>
  <c r="K28" i="1"/>
  <c r="K23" i="1"/>
  <c r="K14" i="1"/>
  <c r="K71" i="1" s="1"/>
</calcChain>
</file>

<file path=xl/sharedStrings.xml><?xml version="1.0" encoding="utf-8"?>
<sst xmlns="http://schemas.openxmlformats.org/spreadsheetml/2006/main" count="208" uniqueCount="141">
  <si>
    <t>DEMOLIÇÕES</t>
  </si>
  <si>
    <t>UN</t>
  </si>
  <si>
    <t>QUANT</t>
  </si>
  <si>
    <t>3.01</t>
  </si>
  <si>
    <t>Demolição de revestimentos</t>
  </si>
  <si>
    <t>m²</t>
  </si>
  <si>
    <t>3.02</t>
  </si>
  <si>
    <t>Luminárias serão reinstaladas</t>
  </si>
  <si>
    <t>vb</t>
  </si>
  <si>
    <t>3.03</t>
  </si>
  <si>
    <t>Demolição de marquise metálica</t>
  </si>
  <si>
    <t>unid.</t>
  </si>
  <si>
    <t>3.04</t>
  </si>
  <si>
    <t xml:space="preserve">Desativação de instalações elétricas existentes </t>
  </si>
  <si>
    <t>3.05</t>
  </si>
  <si>
    <t>Execução de rasgos em piso e parede para passagem de tubulações</t>
  </si>
  <si>
    <t>3.06</t>
  </si>
  <si>
    <t xml:space="preserve">Caçamba </t>
  </si>
  <si>
    <t>vb.</t>
  </si>
  <si>
    <t>ITEM</t>
  </si>
  <si>
    <t>DESCRIÇÃO DO ITEM</t>
  </si>
  <si>
    <t>OBSERVAÇÕES</t>
  </si>
  <si>
    <t>VALORES UNITÁRIOS(R$)</t>
  </si>
  <si>
    <t>MATERIAL</t>
  </si>
  <si>
    <t/>
  </si>
  <si>
    <t>4.0</t>
  </si>
  <si>
    <t>INSTALAÇÕES ELÉTRICAS</t>
  </si>
  <si>
    <t>5.0</t>
  </si>
  <si>
    <t>INSTALAÇÕES HIDRÁULICAS</t>
  </si>
  <si>
    <t>7.0</t>
  </si>
  <si>
    <t>FECHAMENTOS</t>
  </si>
  <si>
    <t>7.01</t>
  </si>
  <si>
    <t>7.02</t>
  </si>
  <si>
    <t>Fechamento da fachada externa em tijolo de vidro, incolor com ventilação.</t>
  </si>
  <si>
    <t>7.03</t>
  </si>
  <si>
    <t>Fechamento da fachada externa (lado do estacionamento) em tijolo de vidro , incolor.</t>
  </si>
  <si>
    <t>7.04</t>
  </si>
  <si>
    <t>Chapa de ferro perfurada - furo redondo (moeda), para ocultar infra estruturas e condensadores do ar condicionado. Com pintura PU anticorrosiva para elementos metálicos.</t>
  </si>
  <si>
    <t>7.05</t>
  </si>
  <si>
    <t>Fechamento muro fachada principal em vidro temperado incolor e estrutura de aluminio com pintura eletrostática cor preto.</t>
  </si>
  <si>
    <t>Estão inclusos os portões de acesso que também serão em vidro temperado incolor e estrutura de aluminio anodizado, cor preto.</t>
  </si>
  <si>
    <t>8.0</t>
  </si>
  <si>
    <t>FORROS</t>
  </si>
  <si>
    <t>9.0</t>
  </si>
  <si>
    <t>ILUMINAÇÃO</t>
  </si>
  <si>
    <t>9.02</t>
  </si>
  <si>
    <r>
      <t xml:space="preserve">Refletores corpo de alumínio injetado e vidro temperado) com iluminação uniforme (wall washer) em led 80w ; ângulo 30°; ip66/ip67;  3000k ; tensão / alimentação: 220v ou bivolt- </t>
    </r>
    <r>
      <rPr>
        <i/>
        <sz val="11"/>
        <color theme="1"/>
        <rFont val="Aptos Narrow"/>
        <family val="2"/>
        <scheme val="minor"/>
      </rPr>
      <t>Para Vista 1</t>
    </r>
  </si>
  <si>
    <t>9.04</t>
  </si>
  <si>
    <r>
      <t>Refletores corpo de alumínio injetado e vidro temperado) com iluminação uniforme (wall washer) em led 150w ; ópticas padrão de facho médio ângulo 30°a 45°; ip66/ip67;  3000k ; tensão / alimentação: 220v ou bivolt.
fixados no muro pelo lado interno e em cima da cobertura de acesso ao estacionamento -</t>
    </r>
    <r>
      <rPr>
        <sz val="11"/>
        <color theme="1"/>
        <rFont val="Calibri Light"/>
        <family val="2"/>
      </rPr>
      <t xml:space="preserve"> </t>
    </r>
    <r>
      <rPr>
        <i/>
        <sz val="11"/>
        <color theme="1"/>
        <rFont val="Calibri Light"/>
        <family val="2"/>
      </rPr>
      <t>Para Vista 2</t>
    </r>
  </si>
  <si>
    <t>9.06</t>
  </si>
  <si>
    <r>
      <t xml:space="preserve">Refletores corpo de alumínio injetado e vidro temperado) com iluminação uniforme (wall washer) em led 80w ; ângulo 30°; ip66/ip67;  3000k ; tensão / alimentação: 220v ou bivolt.. — </t>
    </r>
    <r>
      <rPr>
        <i/>
        <sz val="11"/>
        <color theme="1"/>
        <rFont val="Calibri Light"/>
        <family val="2"/>
      </rPr>
      <t>Para Vista 3</t>
    </r>
  </si>
  <si>
    <t>10.0</t>
  </si>
  <si>
    <t>PINTURA/ ACABAMENTOS</t>
  </si>
  <si>
    <t>10.01</t>
  </si>
  <si>
    <t>Aplicação de massa corrida</t>
  </si>
  <si>
    <t>forro existente</t>
  </si>
  <si>
    <t>10.02</t>
  </si>
  <si>
    <t>Pintura - Acrílico Fosco Branco rende muito (Coral)</t>
  </si>
  <si>
    <t>10.03</t>
  </si>
  <si>
    <t>Pintura dos caixilhos e portas de ferro, existentes em esmalte sintético cor preta, sobre fundo antiferruginoso.</t>
  </si>
  <si>
    <t>Deverão ser verificados os vidros existentes e caso haja necessidade, deverão ser trocados.</t>
  </si>
  <si>
    <t>10.04</t>
  </si>
  <si>
    <t>Pintura de hidrantes existentes, elementos de incêndio e portas corta fogo existentes - vermelho bombeiro</t>
  </si>
  <si>
    <t>11.0</t>
  </si>
  <si>
    <t>REVESTIMENTOS DE PISO</t>
  </si>
  <si>
    <t>12.0</t>
  </si>
  <si>
    <t>REVESTIMENTOS DE PAREDE</t>
  </si>
  <si>
    <t>12.01</t>
  </si>
  <si>
    <t>Revestimento fachadas externas em FULGET cor cinza médio, com juntas de dilatação em alumínio 1" e aplicação de resina acrílica impermeabilizante para proteção do fulget, preparar a base com chapisco, e novo reboco para aplicação do FULGET</t>
  </si>
  <si>
    <t>12.02</t>
  </si>
  <si>
    <t>Revestimento da Torre em FULGET cinza claro. com juntas de dilatação em alumínio 1" e aplicação de resina acrílica impermeabilizante para proteção do fulget, preparar a base com chapisco, e novo reboco para aplicação do FULGET.</t>
  </si>
  <si>
    <t>12.03</t>
  </si>
  <si>
    <t>Revestimento externo da floreira em FULGET vermelho. com juntas de dilatação em alumínio 1" e aplicação de resina acrílica impermeabilizante para proteção do fulget,preparar a base com chapisco, e novo reboco para aplicação do FULGET</t>
  </si>
  <si>
    <t>12.04</t>
  </si>
  <si>
    <t>ml</t>
  </si>
  <si>
    <t>12.05</t>
  </si>
  <si>
    <t>Painéis de ACM 4mm Vermelho Institucional São Camilo (Platibandas e Marquises),Subestrutura auxiliar em perfis tubulares de alumínio/aço galvanizado para ACM, Silicone neutro/mastique PU de cura estrutural para vedação de juntas de ACM</t>
  </si>
  <si>
    <t>12.06</t>
  </si>
  <si>
    <t>Painéis de ACM 4mm Cinza Médio (Destaque Fachada Vista 1), Subestrutura auxiliar em perfis tubulares de alumínio/aço galvanizado para ACM, Silicone neutro/mastique PU de cura estrutural para vedação de juntas de ACM</t>
  </si>
  <si>
    <t>13.0</t>
  </si>
  <si>
    <t>ACABAMENTOS</t>
  </si>
  <si>
    <t>14.0</t>
  </si>
  <si>
    <t>ESQUADRIAS,PORTAS e CAIXILHOS</t>
  </si>
  <si>
    <t>14.01</t>
  </si>
  <si>
    <t xml:space="preserve">Fornecimento de tela metálica galvanizada, malha ondulada (artístico) - malha 20 mm². </t>
  </si>
  <si>
    <t>janela</t>
  </si>
  <si>
    <t>16.0</t>
  </si>
  <si>
    <t>MARMORES E GRANITOS</t>
  </si>
  <si>
    <t>17.0</t>
  </si>
  <si>
    <t>DIVISÓRIAS SANITÁRIAS</t>
  </si>
  <si>
    <t>18.0</t>
  </si>
  <si>
    <t>IMPERMEABILIZAÇÃO</t>
  </si>
  <si>
    <t>18.01</t>
  </si>
  <si>
    <t xml:space="preserve">Sistema de impermeabilização liquida viaplus 7.000 , inclusos regularização, primer e proteção mecânica. </t>
  </si>
  <si>
    <t>19.0</t>
  </si>
  <si>
    <t>AR CONDICIONADO</t>
  </si>
  <si>
    <t>23.0</t>
  </si>
  <si>
    <t>TELHADOS E COBERTURAS</t>
  </si>
  <si>
    <t>23.01</t>
  </si>
  <si>
    <r>
      <rPr>
        <b/>
        <sz val="12"/>
        <color theme="1"/>
        <rFont val="Calibri Light"/>
        <family val="2"/>
      </rPr>
      <t>Calhas / Rufos</t>
    </r>
    <r>
      <rPr>
        <sz val="12"/>
        <color theme="1"/>
        <rFont val="Calibri Light"/>
        <family val="2"/>
      </rPr>
      <t xml:space="preserve">
Fornecimento e montagem + sobreposições + bocais e cabeceiras, em chapa Galvanizada com revestimento em Galvalume, espessura de 0,8mm = chapa 22, com os cortes e desenvolvimentos adequados. Todas as emendas, bocais e cabeceiras serão fixados através de rebites herméticos vedados e as emendas, cabeceiras e bocais soldados com selante em poliuretano com proteção UV de alta performance.
As calhas serão pintadas nas partes externas com tinta fundo para galvanizados e acabamento com esmalte sintética na cor branco.
</t>
    </r>
    <r>
      <rPr>
        <b/>
        <sz val="12"/>
        <color theme="1"/>
        <rFont val="Calibri Light"/>
        <family val="2"/>
      </rPr>
      <t>Condutores de captação das águas das calhas</t>
    </r>
    <r>
      <rPr>
        <sz val="12"/>
        <color theme="1"/>
        <rFont val="Calibri Light"/>
        <family val="2"/>
      </rPr>
      <t xml:space="preserve">
Colocação de condutores retangulares, quando necessário,  em chapa galvanizada com revestimento em Galvalume, espessura de 0,5mm = chapa 26, na bitola dimencionada em projeto, desde a linha da calha até o piso.
</t>
    </r>
  </si>
  <si>
    <t>Instalação de tela fixa anti passáros na torre.</t>
  </si>
  <si>
    <t>Remoção Moldura Cimentícia - EPS -100x30 mm.</t>
  </si>
  <si>
    <t xml:space="preserve">APICOAMENTO </t>
  </si>
  <si>
    <t>Retirada de refletores existentes e instalação das mesmas</t>
  </si>
  <si>
    <t xml:space="preserve">Por Luminária </t>
  </si>
  <si>
    <t xml:space="preserve">Telhado metalico entrada recepção </t>
  </si>
  <si>
    <t>QUANT REAL</t>
  </si>
  <si>
    <t>TOTAL PLAN</t>
  </si>
  <si>
    <t>MÃO DE OBRA PLAN</t>
  </si>
  <si>
    <t>MAO DE OBRA REAL</t>
  </si>
  <si>
    <t>valor de 500,00 reais por unidade instalada, verificar depois a quantidade exata</t>
  </si>
  <si>
    <t>verificar depois todos itens de chapa perfurada a m² total (todas as vistas)</t>
  </si>
  <si>
    <t>buscar fornecedor</t>
  </si>
  <si>
    <t>8.1</t>
  </si>
  <si>
    <t>Demolição e execução forro (drywall RU)</t>
  </si>
  <si>
    <t xml:space="preserve">02 porta corta fogo - R$1.000,00 unid/ pintura 02 hidrante - R$500,00 unid/ pinturade 02  registro de recalque R$250,00 unid/ tubulação de incêndio/ pintura corrimão - </t>
  </si>
  <si>
    <t>Reboco</t>
  </si>
  <si>
    <t>valor apenas M.O, material enviar ate 12:00</t>
  </si>
  <si>
    <t>Instalação de soleira janelas</t>
  </si>
  <si>
    <t>Instalação de soleira vidros</t>
  </si>
  <si>
    <t>24.0</t>
  </si>
  <si>
    <t>OMISSOS</t>
  </si>
  <si>
    <t>considerado caixa de viaplus de 300,00</t>
  </si>
  <si>
    <t>m</t>
  </si>
  <si>
    <t>Rufo Estacionamento</t>
  </si>
  <si>
    <t>160m de rufo e 60m de calha</t>
  </si>
  <si>
    <t>24.01</t>
  </si>
  <si>
    <t>24.03</t>
  </si>
  <si>
    <t>24.04</t>
  </si>
  <si>
    <t>Remoção da tubulação existente pluvial (manilha de barro e substituição por pvc</t>
  </si>
  <si>
    <t>24.05</t>
  </si>
  <si>
    <t>24.06</t>
  </si>
  <si>
    <t>24.07</t>
  </si>
  <si>
    <t>24.08</t>
  </si>
  <si>
    <t>Desinstalação e instalação de condensadoras ar condicionado</t>
  </si>
  <si>
    <t>Tratamento e limpeza da laje da torre</t>
  </si>
  <si>
    <t>Desmontagem e remontagem de plataforma de acesso às condesadoras da área externa dos alunos</t>
  </si>
  <si>
    <t>Instalação de moldura em Eps</t>
  </si>
  <si>
    <t>Restauração de cruz</t>
  </si>
  <si>
    <t>QUANT. PLAN</t>
  </si>
  <si>
    <t xml:space="preserve">TOTAL REAL ( PAGAR MAO DE OBRA 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</si>
</sst>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_(* #,##0.00_);_(* \(#,##0.00\);_(* &quot;-&quot;??_);_(@_)"/>
    <numFmt numFmtId="165" formatCode="&quot;R$&quot;\ #,##0.00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name val="Calibri Light"/>
      <family val="2"/>
    </font>
    <font>
      <b/>
      <sz val="12"/>
      <color theme="1" tint="0.34998626667073579"/>
      <name val="Calibri Light"/>
      <family val="2"/>
    </font>
    <font>
      <sz val="12"/>
      <name val="Calibri Light"/>
      <family val="2"/>
    </font>
    <font>
      <sz val="12"/>
      <color theme="1"/>
      <name val="Calibri Light"/>
      <family val="2"/>
    </font>
    <font>
      <sz val="12"/>
      <color theme="1" tint="0.34998626667073579"/>
      <name val="Calibri Light"/>
      <family val="2"/>
    </font>
    <font>
      <b/>
      <sz val="12"/>
      <color theme="0"/>
      <name val="Calibri Light"/>
      <family val="2"/>
    </font>
    <font>
      <i/>
      <sz val="11"/>
      <color theme="1"/>
      <name val="Aptos Narrow"/>
      <family val="2"/>
      <scheme val="minor"/>
    </font>
    <font>
      <sz val="11"/>
      <name val="Calibri Light"/>
      <family val="2"/>
    </font>
    <font>
      <sz val="11"/>
      <color theme="1"/>
      <name val="Calibri Light"/>
      <family val="2"/>
    </font>
    <font>
      <i/>
      <sz val="11"/>
      <color theme="1"/>
      <name val="Calibri Light"/>
      <family val="2"/>
    </font>
    <font>
      <b/>
      <sz val="12"/>
      <color theme="1"/>
      <name val="Calibri Light"/>
      <family val="2"/>
    </font>
    <font>
      <sz val="8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/>
      <top style="thin">
        <color indexed="22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3">
    <xf numFmtId="0" fontId="0" fillId="0" borderId="0" xfId="0"/>
    <xf numFmtId="164" fontId="7" fillId="4" borderId="2" xfId="0" applyNumberFormat="1" applyFont="1" applyFill="1" applyBorder="1" applyAlignment="1" applyProtection="1">
      <alignment horizontal="center" vertical="center"/>
      <protection hidden="1"/>
    </xf>
    <xf numFmtId="164" fontId="7" fillId="4" borderId="4" xfId="0" applyNumberFormat="1" applyFont="1" applyFill="1" applyBorder="1" applyAlignment="1" applyProtection="1">
      <alignment horizontal="center" vertical="center"/>
      <protection hidden="1"/>
    </xf>
    <xf numFmtId="164" fontId="7" fillId="4" borderId="2" xfId="0" applyNumberFormat="1" applyFont="1" applyFill="1" applyBorder="1" applyAlignment="1" applyProtection="1">
      <alignment horizontal="center" vertical="center" wrapText="1"/>
      <protection hidden="1"/>
    </xf>
    <xf numFmtId="49" fontId="2" fillId="2" borderId="5" xfId="0" quotePrefix="1" applyNumberFormat="1" applyFont="1" applyFill="1" applyBorder="1" applyAlignment="1" applyProtection="1">
      <alignment horizontal="center" vertical="center"/>
      <protection hidden="1"/>
    </xf>
    <xf numFmtId="0" fontId="2" fillId="2" borderId="5" xfId="0" applyFont="1" applyFill="1" applyBorder="1" applyAlignment="1">
      <alignment horizontal="left" vertical="center"/>
    </xf>
    <xf numFmtId="0" fontId="3" fillId="2" borderId="5" xfId="0" applyFont="1" applyFill="1" applyBorder="1" applyAlignment="1" applyProtection="1">
      <alignment horizontal="left" vertical="center" wrapText="1"/>
      <protection hidden="1"/>
    </xf>
    <xf numFmtId="164" fontId="2" fillId="2" borderId="5" xfId="0" applyNumberFormat="1" applyFont="1" applyFill="1" applyBorder="1" applyAlignment="1" applyProtection="1">
      <alignment horizontal="center" vertical="center"/>
      <protection hidden="1"/>
    </xf>
    <xf numFmtId="44" fontId="2" fillId="2" borderId="5" xfId="1" applyFont="1" applyFill="1" applyBorder="1" applyAlignment="1" applyProtection="1">
      <alignment vertical="center"/>
      <protection hidden="1"/>
    </xf>
    <xf numFmtId="44" fontId="2" fillId="2" borderId="5" xfId="1" applyFont="1" applyFill="1" applyBorder="1" applyAlignment="1" applyProtection="1">
      <alignment horizontal="center" vertical="center"/>
      <protection hidden="1"/>
    </xf>
    <xf numFmtId="0" fontId="5" fillId="0" borderId="5" xfId="0" applyFont="1" applyBorder="1" applyAlignment="1">
      <alignment horizontal="center" vertical="center"/>
    </xf>
    <xf numFmtId="0" fontId="5" fillId="3" borderId="5" xfId="0" applyFont="1" applyFill="1" applyBorder="1" applyAlignment="1">
      <alignment horizontal="left" vertical="center" wrapText="1"/>
    </xf>
    <xf numFmtId="0" fontId="5" fillId="0" borderId="5" xfId="0" applyFont="1" applyBorder="1" applyAlignment="1">
      <alignment vertical="center" wrapText="1"/>
    </xf>
    <xf numFmtId="164" fontId="5" fillId="3" borderId="5" xfId="0" applyNumberFormat="1" applyFont="1" applyFill="1" applyBorder="1" applyAlignment="1">
      <alignment vertical="center"/>
    </xf>
    <xf numFmtId="44" fontId="4" fillId="3" borderId="5" xfId="1" applyFont="1" applyFill="1" applyBorder="1" applyAlignment="1" applyProtection="1">
      <alignment horizontal="right" vertical="center"/>
      <protection locked="0"/>
    </xf>
    <xf numFmtId="0" fontId="4" fillId="3" borderId="5" xfId="0" applyFont="1" applyFill="1" applyBorder="1" applyAlignment="1">
      <alignment horizontal="left" vertical="center" wrapText="1"/>
    </xf>
    <xf numFmtId="0" fontId="6" fillId="3" borderId="5" xfId="0" applyFont="1" applyFill="1" applyBorder="1" applyAlignment="1">
      <alignment vertical="center" wrapText="1"/>
    </xf>
    <xf numFmtId="0" fontId="4" fillId="3" borderId="5" xfId="0" applyFont="1" applyFill="1" applyBorder="1" applyAlignment="1">
      <alignment horizontal="center" vertical="center"/>
    </xf>
    <xf numFmtId="164" fontId="4" fillId="3" borderId="5" xfId="0" applyNumberFormat="1" applyFont="1" applyFill="1" applyBorder="1" applyAlignment="1">
      <alignment vertical="center"/>
    </xf>
    <xf numFmtId="0" fontId="6" fillId="0" borderId="5" xfId="0" applyFont="1" applyBorder="1" applyAlignment="1">
      <alignment vertical="center" wrapText="1"/>
    </xf>
    <xf numFmtId="0" fontId="4" fillId="0" borderId="5" xfId="0" applyFont="1" applyBorder="1" applyAlignment="1">
      <alignment horizontal="center" vertical="center"/>
    </xf>
    <xf numFmtId="49" fontId="2" fillId="2" borderId="5" xfId="0" applyNumberFormat="1" applyFont="1" applyFill="1" applyBorder="1" applyAlignment="1" applyProtection="1">
      <alignment horizontal="center" vertical="center"/>
      <protection hidden="1"/>
    </xf>
    <xf numFmtId="0" fontId="4" fillId="3" borderId="5" xfId="0" applyFont="1" applyFill="1" applyBorder="1" applyAlignment="1">
      <alignment vertical="center"/>
    </xf>
    <xf numFmtId="0" fontId="6" fillId="3" borderId="5" xfId="0" applyFont="1" applyFill="1" applyBorder="1" applyAlignment="1">
      <alignment vertical="center"/>
    </xf>
    <xf numFmtId="44" fontId="4" fillId="3" borderId="5" xfId="1" applyFont="1" applyFill="1" applyBorder="1" applyAlignment="1">
      <alignment vertical="center"/>
    </xf>
    <xf numFmtId="164" fontId="4" fillId="3" borderId="5" xfId="0" applyNumberFormat="1" applyFont="1" applyFill="1" applyBorder="1" applyAlignment="1">
      <alignment horizontal="center" vertical="center"/>
    </xf>
    <xf numFmtId="44" fontId="4" fillId="0" borderId="5" xfId="1" applyFont="1" applyFill="1" applyBorder="1" applyAlignment="1" applyProtection="1">
      <alignment horizontal="right" vertical="center"/>
      <protection locked="0"/>
    </xf>
    <xf numFmtId="0" fontId="9" fillId="3" borderId="5" xfId="0" applyFont="1" applyFill="1" applyBorder="1" applyAlignment="1">
      <alignment horizontal="left" vertical="center" wrapText="1"/>
    </xf>
    <xf numFmtId="0" fontId="10" fillId="3" borderId="5" xfId="0" applyFont="1" applyFill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center" vertical="center" wrapText="1"/>
    </xf>
    <xf numFmtId="164" fontId="4" fillId="0" borderId="5" xfId="0" applyNumberFormat="1" applyFont="1" applyBorder="1" applyAlignment="1">
      <alignment vertical="center"/>
    </xf>
    <xf numFmtId="164" fontId="4" fillId="3" borderId="5" xfId="0" applyNumberFormat="1" applyFont="1" applyFill="1" applyBorder="1" applyAlignment="1" applyProtection="1">
      <alignment horizontal="center" vertical="center"/>
      <protection hidden="1"/>
    </xf>
    <xf numFmtId="0" fontId="4" fillId="3" borderId="5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left" vertical="center" wrapText="1"/>
    </xf>
    <xf numFmtId="49" fontId="2" fillId="3" borderId="5" xfId="0" applyNumberFormat="1" applyFont="1" applyFill="1" applyBorder="1" applyAlignment="1" applyProtection="1">
      <alignment horizontal="center" vertical="center"/>
      <protection hidden="1"/>
    </xf>
    <xf numFmtId="0" fontId="2" fillId="3" borderId="5" xfId="0" applyFont="1" applyFill="1" applyBorder="1" applyAlignment="1">
      <alignment horizontal="left" vertical="center"/>
    </xf>
    <xf numFmtId="0" fontId="3" fillId="3" borderId="5" xfId="0" applyFont="1" applyFill="1" applyBorder="1" applyAlignment="1" applyProtection="1">
      <alignment horizontal="left" vertical="center" wrapText="1"/>
      <protection hidden="1"/>
    </xf>
    <xf numFmtId="164" fontId="2" fillId="3" borderId="5" xfId="0" applyNumberFormat="1" applyFont="1" applyFill="1" applyBorder="1" applyAlignment="1" applyProtection="1">
      <alignment horizontal="center" vertical="center"/>
      <protection hidden="1"/>
    </xf>
    <xf numFmtId="44" fontId="2" fillId="3" borderId="5" xfId="1" applyFont="1" applyFill="1" applyBorder="1" applyAlignment="1" applyProtection="1">
      <alignment vertical="center"/>
      <protection hidden="1"/>
    </xf>
    <xf numFmtId="165" fontId="4" fillId="3" borderId="5" xfId="1" applyNumberFormat="1" applyFont="1" applyFill="1" applyBorder="1" applyAlignment="1" applyProtection="1">
      <alignment horizontal="right" vertical="center"/>
      <protection locked="0"/>
    </xf>
    <xf numFmtId="164" fontId="7" fillId="4" borderId="6" xfId="0" applyNumberFormat="1" applyFont="1" applyFill="1" applyBorder="1" applyAlignment="1" applyProtection="1">
      <alignment horizontal="center" vertical="center"/>
      <protection hidden="1"/>
    </xf>
    <xf numFmtId="0" fontId="0" fillId="0" borderId="0" xfId="0" applyAlignment="1">
      <alignment wrapText="1"/>
    </xf>
    <xf numFmtId="44" fontId="4" fillId="5" borderId="5" xfId="1" applyFont="1" applyFill="1" applyBorder="1" applyAlignment="1">
      <alignment vertical="center"/>
    </xf>
    <xf numFmtId="0" fontId="4" fillId="5" borderId="5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left" vertical="center" wrapText="1"/>
    </xf>
    <xf numFmtId="0" fontId="6" fillId="5" borderId="5" xfId="0" applyFont="1" applyFill="1" applyBorder="1" applyAlignment="1">
      <alignment horizontal="left" vertical="center" wrapText="1"/>
    </xf>
    <xf numFmtId="164" fontId="5" fillId="5" borderId="5" xfId="0" applyNumberFormat="1" applyFont="1" applyFill="1" applyBorder="1" applyAlignment="1" applyProtection="1">
      <alignment horizontal="center" vertical="center"/>
      <protection hidden="1"/>
    </xf>
    <xf numFmtId="44" fontId="4" fillId="5" borderId="5" xfId="1" applyFont="1" applyFill="1" applyBorder="1" applyAlignment="1" applyProtection="1">
      <alignment horizontal="right" vertical="center"/>
      <protection locked="0"/>
    </xf>
    <xf numFmtId="44" fontId="14" fillId="6" borderId="5" xfId="0" applyNumberFormat="1" applyFont="1" applyFill="1" applyBorder="1"/>
    <xf numFmtId="164" fontId="7" fillId="4" borderId="1" xfId="0" applyNumberFormat="1" applyFont="1" applyFill="1" applyBorder="1" applyAlignment="1" applyProtection="1">
      <alignment horizontal="center" vertical="center"/>
      <protection hidden="1"/>
    </xf>
    <xf numFmtId="164" fontId="7" fillId="4" borderId="3" xfId="0" applyNumberFormat="1" applyFont="1" applyFill="1" applyBorder="1" applyAlignment="1" applyProtection="1">
      <alignment horizontal="center" vertical="center"/>
      <protection hidden="1"/>
    </xf>
    <xf numFmtId="49" fontId="7" fillId="4" borderId="2" xfId="0" applyNumberFormat="1" applyFont="1" applyFill="1" applyBorder="1" applyAlignment="1" applyProtection="1">
      <alignment horizontal="center" vertical="center"/>
      <protection hidden="1"/>
    </xf>
    <xf numFmtId="49" fontId="7" fillId="4" borderId="4" xfId="0" applyNumberFormat="1" applyFont="1" applyFill="1" applyBorder="1" applyAlignment="1" applyProtection="1">
      <alignment horizontal="center" vertical="center"/>
      <protection hidden="1"/>
    </xf>
    <xf numFmtId="0" fontId="7" fillId="4" borderId="2" xfId="0" applyFont="1" applyFill="1" applyBorder="1" applyAlignment="1" applyProtection="1">
      <alignment horizontal="center" vertical="center"/>
      <protection hidden="1"/>
    </xf>
    <xf numFmtId="0" fontId="7" fillId="4" borderId="4" xfId="0" applyFont="1" applyFill="1" applyBorder="1" applyAlignment="1" applyProtection="1">
      <alignment horizontal="center" vertical="center"/>
      <protection hidden="1"/>
    </xf>
    <xf numFmtId="0" fontId="7" fillId="4" borderId="2" xfId="0" applyFont="1" applyFill="1" applyBorder="1" applyAlignment="1" applyProtection="1">
      <alignment horizontal="center" vertical="center" wrapText="1"/>
      <protection hidden="1"/>
    </xf>
    <xf numFmtId="0" fontId="7" fillId="4" borderId="4" xfId="0" applyFont="1" applyFill="1" applyBorder="1" applyAlignment="1" applyProtection="1">
      <alignment horizontal="center" vertical="center" wrapText="1"/>
      <protection hidden="1"/>
    </xf>
    <xf numFmtId="164" fontId="7" fillId="4" borderId="2" xfId="0" applyNumberFormat="1" applyFont="1" applyFill="1" applyBorder="1" applyAlignment="1" applyProtection="1">
      <alignment horizontal="center" vertical="center"/>
      <protection hidden="1"/>
    </xf>
    <xf numFmtId="164" fontId="7" fillId="4" borderId="4" xfId="0" applyNumberFormat="1" applyFont="1" applyFill="1" applyBorder="1" applyAlignment="1" applyProtection="1">
      <alignment horizontal="center" vertical="center"/>
      <protection hidden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A52D8-7A79-453A-B986-636E034E6AE6}">
  <dimension ref="A1:Q71"/>
  <sheetViews>
    <sheetView tabSelected="1" zoomScale="85" zoomScaleNormal="85" workbookViewId="0">
      <pane ySplit="2" topLeftCell="A63" activePane="bottomLeft" state="frozen"/>
      <selection pane="bottomLeft" activeCell="B70" sqref="B70"/>
    </sheetView>
  </sheetViews>
  <sheetFormatPr defaultRowHeight="14.4" x14ac:dyDescent="0.3"/>
  <cols>
    <col min="1" max="1" width="6.6640625" bestFit="1" customWidth="1"/>
    <col min="2" max="2" width="43.88671875" customWidth="1"/>
    <col min="3" max="3" width="25.88671875" customWidth="1"/>
    <col min="4" max="4" width="14.6640625" customWidth="1"/>
    <col min="5" max="6" width="16" customWidth="1"/>
    <col min="7" max="7" width="14" bestFit="1" customWidth="1"/>
    <col min="8" max="8" width="21.109375" customWidth="1"/>
    <col min="9" max="9" width="14" customWidth="1"/>
    <col min="10" max="10" width="16.33203125" bestFit="1" customWidth="1"/>
    <col min="11" max="11" width="30.44140625" bestFit="1" customWidth="1"/>
    <col min="12" max="12" width="18.109375" customWidth="1"/>
  </cols>
  <sheetData>
    <row r="1" spans="1:17" ht="15.6" x14ac:dyDescent="0.3">
      <c r="A1" s="55" t="s">
        <v>19</v>
      </c>
      <c r="B1" s="57" t="s">
        <v>20</v>
      </c>
      <c r="C1" s="59" t="s">
        <v>21</v>
      </c>
      <c r="D1" s="57" t="s">
        <v>1</v>
      </c>
      <c r="E1" s="61" t="s">
        <v>139</v>
      </c>
      <c r="F1" s="44"/>
      <c r="G1" s="53" t="s">
        <v>22</v>
      </c>
      <c r="H1" s="54"/>
      <c r="I1" s="54"/>
      <c r="J1" s="54"/>
      <c r="K1" s="54"/>
    </row>
    <row r="2" spans="1:17" ht="31.2" x14ac:dyDescent="0.3">
      <c r="A2" s="56"/>
      <c r="B2" s="58"/>
      <c r="C2" s="60"/>
      <c r="D2" s="58"/>
      <c r="E2" s="62"/>
      <c r="F2" s="2" t="s">
        <v>106</v>
      </c>
      <c r="G2" s="1" t="s">
        <v>23</v>
      </c>
      <c r="H2" s="1" t="s">
        <v>109</v>
      </c>
      <c r="I2" s="3" t="s">
        <v>108</v>
      </c>
      <c r="J2" s="3" t="s">
        <v>107</v>
      </c>
      <c r="K2" s="3" t="s">
        <v>140</v>
      </c>
    </row>
    <row r="3" spans="1:17" ht="15.6" x14ac:dyDescent="0.3">
      <c r="A3" s="4" t="s">
        <v>24</v>
      </c>
      <c r="B3" s="5" t="s">
        <v>0</v>
      </c>
      <c r="C3" s="6"/>
      <c r="D3" s="7" t="s">
        <v>1</v>
      </c>
      <c r="E3" s="7" t="s">
        <v>2</v>
      </c>
      <c r="F3" s="7"/>
      <c r="G3" s="8"/>
      <c r="H3" s="8"/>
      <c r="I3" s="8"/>
      <c r="J3" s="8"/>
      <c r="K3" s="9">
        <f>SUM(K4:K9)</f>
        <v>217399.99999799998</v>
      </c>
    </row>
    <row r="4" spans="1:17" ht="15.6" x14ac:dyDescent="0.3">
      <c r="A4" s="10" t="s">
        <v>3</v>
      </c>
      <c r="B4" s="11" t="s">
        <v>4</v>
      </c>
      <c r="C4" s="12"/>
      <c r="D4" s="10" t="s">
        <v>5</v>
      </c>
      <c r="E4" s="13">
        <v>1884.25</v>
      </c>
      <c r="F4" s="13">
        <v>3390</v>
      </c>
      <c r="G4" s="14">
        <v>0</v>
      </c>
      <c r="H4" s="43">
        <v>89.956215999999998</v>
      </c>
      <c r="I4" s="43"/>
      <c r="J4" s="43"/>
      <c r="K4" s="14">
        <f>H4*E4</f>
        <v>169499.99999799998</v>
      </c>
      <c r="L4" t="s">
        <v>102</v>
      </c>
    </row>
    <row r="5" spans="1:17" ht="31.2" x14ac:dyDescent="0.3">
      <c r="A5" s="10" t="s">
        <v>6</v>
      </c>
      <c r="B5" s="15" t="s">
        <v>103</v>
      </c>
      <c r="C5" s="16" t="s">
        <v>7</v>
      </c>
      <c r="D5" s="17" t="s">
        <v>8</v>
      </c>
      <c r="E5" s="18">
        <v>1</v>
      </c>
      <c r="F5" s="18">
        <v>52</v>
      </c>
      <c r="G5" s="14">
        <v>300</v>
      </c>
      <c r="H5" s="43">
        <v>150</v>
      </c>
      <c r="I5" s="43"/>
      <c r="J5" s="43"/>
      <c r="K5" s="14">
        <f>F5*(G5+H5)</f>
        <v>23400</v>
      </c>
      <c r="L5" t="s">
        <v>104</v>
      </c>
    </row>
    <row r="6" spans="1:17" ht="15.6" x14ac:dyDescent="0.3">
      <c r="A6" s="10" t="s">
        <v>9</v>
      </c>
      <c r="B6" s="15" t="s">
        <v>10</v>
      </c>
      <c r="C6" s="16"/>
      <c r="D6" s="17" t="s">
        <v>11</v>
      </c>
      <c r="E6" s="18">
        <v>1</v>
      </c>
      <c r="F6" s="18"/>
      <c r="G6" s="14">
        <v>0</v>
      </c>
      <c r="H6" s="43">
        <v>1000</v>
      </c>
      <c r="I6" s="43"/>
      <c r="J6" s="43"/>
      <c r="K6" s="43">
        <v>2500</v>
      </c>
      <c r="L6" t="s">
        <v>105</v>
      </c>
    </row>
    <row r="7" spans="1:17" ht="15.6" x14ac:dyDescent="0.3">
      <c r="A7" s="10" t="s">
        <v>12</v>
      </c>
      <c r="B7" s="15" t="s">
        <v>13</v>
      </c>
      <c r="C7" s="19"/>
      <c r="D7" s="20" t="s">
        <v>8</v>
      </c>
      <c r="E7" s="18">
        <v>1</v>
      </c>
      <c r="F7" s="18"/>
      <c r="G7" s="14">
        <v>0</v>
      </c>
      <c r="H7" s="43">
        <v>10000</v>
      </c>
      <c r="I7" s="43"/>
      <c r="J7" s="43"/>
      <c r="K7" s="43">
        <f>H7</f>
        <v>10000</v>
      </c>
    </row>
    <row r="8" spans="1:17" ht="31.2" x14ac:dyDescent="0.3">
      <c r="A8" s="10" t="s">
        <v>14</v>
      </c>
      <c r="B8" s="15" t="s">
        <v>15</v>
      </c>
      <c r="C8" s="34"/>
      <c r="D8" s="17" t="s">
        <v>8</v>
      </c>
      <c r="E8" s="18">
        <v>1</v>
      </c>
      <c r="F8" s="18">
        <v>300</v>
      </c>
      <c r="G8" s="14">
        <v>0</v>
      </c>
      <c r="H8" s="14">
        <v>40</v>
      </c>
      <c r="I8" s="43"/>
      <c r="J8" s="43"/>
      <c r="K8" s="14">
        <f>H8*F8</f>
        <v>12000</v>
      </c>
    </row>
    <row r="9" spans="1:17" ht="15.6" x14ac:dyDescent="0.3">
      <c r="A9" s="10" t="s">
        <v>16</v>
      </c>
      <c r="B9" s="15" t="s">
        <v>17</v>
      </c>
      <c r="C9" s="16"/>
      <c r="D9" s="17" t="s">
        <v>18</v>
      </c>
      <c r="E9" s="18">
        <v>1</v>
      </c>
      <c r="F9" s="18"/>
      <c r="G9" s="14">
        <v>0</v>
      </c>
      <c r="H9" s="14"/>
      <c r="I9" s="43"/>
      <c r="J9" s="43"/>
      <c r="K9" s="14">
        <f t="shared" ref="K9" si="0">E9*(I9+G9)</f>
        <v>0</v>
      </c>
    </row>
    <row r="10" spans="1:17" ht="15.6" x14ac:dyDescent="0.3">
      <c r="A10" s="21" t="s">
        <v>25</v>
      </c>
      <c r="B10" s="5" t="s">
        <v>26</v>
      </c>
      <c r="C10" s="6"/>
      <c r="D10" s="7" t="s">
        <v>1</v>
      </c>
      <c r="E10" s="7" t="s">
        <v>2</v>
      </c>
      <c r="F10" s="7"/>
      <c r="G10" s="8"/>
      <c r="H10" s="8"/>
      <c r="I10" s="8"/>
      <c r="J10" s="8"/>
      <c r="K10" s="9"/>
    </row>
    <row r="11" spans="1:17" ht="27" customHeight="1" x14ac:dyDescent="0.3">
      <c r="A11" s="22"/>
      <c r="B11" s="22"/>
      <c r="C11" s="23"/>
      <c r="D11" s="22"/>
      <c r="E11" s="22"/>
      <c r="F11" s="22"/>
      <c r="G11" s="14"/>
      <c r="H11" s="14"/>
      <c r="I11" s="14"/>
      <c r="J11" s="14"/>
      <c r="K11" s="14">
        <f t="shared" ref="K11:K13" si="1">E11*I11</f>
        <v>0</v>
      </c>
      <c r="O11">
        <f>226</f>
        <v>226</v>
      </c>
    </row>
    <row r="12" spans="1:17" ht="15.6" x14ac:dyDescent="0.3">
      <c r="A12" s="21" t="s">
        <v>27</v>
      </c>
      <c r="B12" s="5" t="s">
        <v>28</v>
      </c>
      <c r="C12" s="6"/>
      <c r="D12" s="7" t="s">
        <v>1</v>
      </c>
      <c r="E12" s="7" t="s">
        <v>2</v>
      </c>
      <c r="F12" s="7"/>
      <c r="G12" s="8"/>
      <c r="H12" s="8"/>
      <c r="I12" s="8"/>
      <c r="J12" s="8"/>
      <c r="K12" s="9"/>
    </row>
    <row r="13" spans="1:17" ht="40.5" customHeight="1" x14ac:dyDescent="0.3">
      <c r="A13" s="22"/>
      <c r="B13" s="22"/>
      <c r="C13" s="23"/>
      <c r="D13" s="22"/>
      <c r="E13" s="22"/>
      <c r="F13" s="22"/>
      <c r="G13" s="24"/>
      <c r="H13" s="24"/>
      <c r="I13" s="24"/>
      <c r="J13" s="24"/>
      <c r="K13" s="14">
        <f t="shared" si="1"/>
        <v>0</v>
      </c>
    </row>
    <row r="14" spans="1:17" ht="27" customHeight="1" x14ac:dyDescent="0.3">
      <c r="A14" s="21" t="s">
        <v>29</v>
      </c>
      <c r="B14" s="5" t="s">
        <v>30</v>
      </c>
      <c r="C14" s="6"/>
      <c r="D14" s="7" t="s">
        <v>1</v>
      </c>
      <c r="E14" s="7" t="s">
        <v>2</v>
      </c>
      <c r="F14" s="7"/>
      <c r="G14" s="8"/>
      <c r="H14" s="8"/>
      <c r="I14" s="8"/>
      <c r="J14" s="8"/>
      <c r="K14" s="9">
        <f>SUM(K15:K19)</f>
        <v>36000</v>
      </c>
    </row>
    <row r="15" spans="1:17" ht="72" x14ac:dyDescent="0.3">
      <c r="A15" s="17" t="s">
        <v>31</v>
      </c>
      <c r="B15" s="15" t="s">
        <v>100</v>
      </c>
      <c r="C15" s="16"/>
      <c r="D15" s="17" t="s">
        <v>5</v>
      </c>
      <c r="E15" s="25">
        <v>50</v>
      </c>
      <c r="F15" s="25"/>
      <c r="G15" s="26">
        <v>0</v>
      </c>
      <c r="H15" s="26">
        <v>500</v>
      </c>
      <c r="I15" s="26"/>
      <c r="J15" s="26"/>
      <c r="K15" s="14">
        <f t="shared" ref="K15:K20" si="2">E15*(I15+G15)</f>
        <v>0</v>
      </c>
      <c r="L15" s="45" t="s">
        <v>110</v>
      </c>
      <c r="Q15">
        <v>34.479999999999997</v>
      </c>
    </row>
    <row r="16" spans="1:17" ht="31.2" x14ac:dyDescent="0.3">
      <c r="A16" s="17" t="s">
        <v>32</v>
      </c>
      <c r="B16" s="15" t="s">
        <v>33</v>
      </c>
      <c r="C16" s="16"/>
      <c r="D16" s="17" t="s">
        <v>5</v>
      </c>
      <c r="E16" s="25">
        <v>11</v>
      </c>
      <c r="F16" s="18"/>
      <c r="G16" s="26">
        <v>0</v>
      </c>
      <c r="H16" s="26">
        <v>120</v>
      </c>
      <c r="I16" s="26"/>
      <c r="J16" s="26"/>
      <c r="K16" s="14">
        <f t="shared" si="2"/>
        <v>0</v>
      </c>
      <c r="Q16">
        <v>19.239999999999998</v>
      </c>
    </row>
    <row r="17" spans="1:12" ht="31.2" x14ac:dyDescent="0.3">
      <c r="A17" s="17" t="s">
        <v>34</v>
      </c>
      <c r="B17" s="15" t="s">
        <v>35</v>
      </c>
      <c r="C17" s="16"/>
      <c r="D17" s="17" t="s">
        <v>5</v>
      </c>
      <c r="E17" s="25">
        <v>5</v>
      </c>
      <c r="F17" s="18"/>
      <c r="G17" s="26">
        <v>0</v>
      </c>
      <c r="H17" s="26">
        <v>120</v>
      </c>
      <c r="I17" s="26"/>
      <c r="J17" s="26"/>
      <c r="K17" s="14">
        <f t="shared" si="2"/>
        <v>0</v>
      </c>
    </row>
    <row r="18" spans="1:12" ht="78" x14ac:dyDescent="0.3">
      <c r="A18" s="17" t="s">
        <v>36</v>
      </c>
      <c r="B18" s="15" t="s">
        <v>37</v>
      </c>
      <c r="C18" s="16"/>
      <c r="D18" s="17" t="s">
        <v>5</v>
      </c>
      <c r="E18" s="25">
        <v>80</v>
      </c>
      <c r="F18" s="18">
        <v>120</v>
      </c>
      <c r="G18" s="26">
        <v>0</v>
      </c>
      <c r="H18" s="26">
        <v>450</v>
      </c>
      <c r="I18" s="26"/>
      <c r="J18" s="26"/>
      <c r="K18" s="14">
        <f>H18*E18</f>
        <v>36000</v>
      </c>
      <c r="L18" s="45" t="s">
        <v>111</v>
      </c>
    </row>
    <row r="19" spans="1:12" ht="93.6" x14ac:dyDescent="0.3">
      <c r="A19" s="17" t="s">
        <v>38</v>
      </c>
      <c r="B19" s="15" t="s">
        <v>39</v>
      </c>
      <c r="C19" s="16" t="s">
        <v>40</v>
      </c>
      <c r="D19" s="17" t="s">
        <v>5</v>
      </c>
      <c r="E19" s="25">
        <v>110</v>
      </c>
      <c r="F19" s="25"/>
      <c r="G19" s="26">
        <v>0</v>
      </c>
      <c r="H19" s="26"/>
      <c r="I19" s="26"/>
      <c r="J19" s="26"/>
      <c r="K19" s="14">
        <f t="shared" si="2"/>
        <v>0</v>
      </c>
      <c r="L19" t="s">
        <v>112</v>
      </c>
    </row>
    <row r="20" spans="1:12" ht="15.6" x14ac:dyDescent="0.3">
      <c r="A20" s="22"/>
      <c r="B20" s="22"/>
      <c r="C20" s="23"/>
      <c r="D20" s="22"/>
      <c r="E20" s="22"/>
      <c r="F20" s="22"/>
      <c r="G20" s="24"/>
      <c r="H20" s="24"/>
      <c r="I20" s="24"/>
      <c r="J20" s="24"/>
      <c r="K20" s="14">
        <f t="shared" si="2"/>
        <v>0</v>
      </c>
    </row>
    <row r="21" spans="1:12" ht="15.6" x14ac:dyDescent="0.3">
      <c r="A21" s="21" t="s">
        <v>41</v>
      </c>
      <c r="B21" s="5" t="s">
        <v>42</v>
      </c>
      <c r="C21" s="6"/>
      <c r="D21" s="7" t="s">
        <v>1</v>
      </c>
      <c r="E21" s="7" t="s">
        <v>2</v>
      </c>
      <c r="F21" s="7"/>
      <c r="G21" s="8"/>
      <c r="H21" s="8"/>
      <c r="I21" s="8"/>
      <c r="J21" s="8"/>
      <c r="K21" s="9">
        <f>SUM(K22)</f>
        <v>10400</v>
      </c>
    </row>
    <row r="22" spans="1:12" ht="15.6" x14ac:dyDescent="0.3">
      <c r="A22" s="22" t="s">
        <v>113</v>
      </c>
      <c r="B22" s="22" t="s">
        <v>114</v>
      </c>
      <c r="C22" s="23"/>
      <c r="D22" s="17" t="s">
        <v>5</v>
      </c>
      <c r="E22" s="25">
        <v>80</v>
      </c>
      <c r="F22" s="22"/>
      <c r="G22" s="24">
        <v>78</v>
      </c>
      <c r="H22" s="24">
        <v>52</v>
      </c>
      <c r="I22" s="24"/>
      <c r="J22" s="24"/>
      <c r="K22" s="14">
        <f>E22*(H22+G22)</f>
        <v>10400</v>
      </c>
    </row>
    <row r="23" spans="1:12" ht="15.6" x14ac:dyDescent="0.3">
      <c r="A23" s="21" t="s">
        <v>43</v>
      </c>
      <c r="B23" s="5" t="s">
        <v>44</v>
      </c>
      <c r="C23" s="6"/>
      <c r="D23" s="7" t="s">
        <v>1</v>
      </c>
      <c r="E23" s="7" t="s">
        <v>2</v>
      </c>
      <c r="F23" s="7"/>
      <c r="G23" s="8"/>
      <c r="H23" s="8"/>
      <c r="I23" s="8"/>
      <c r="J23" s="8"/>
      <c r="K23" s="9">
        <f>SUM(K24:K26)</f>
        <v>7020</v>
      </c>
    </row>
    <row r="24" spans="1:12" ht="76.8" x14ac:dyDescent="0.3">
      <c r="A24" s="20" t="s">
        <v>45</v>
      </c>
      <c r="B24" s="15" t="s">
        <v>46</v>
      </c>
      <c r="C24" s="16"/>
      <c r="D24" s="17" t="s">
        <v>11</v>
      </c>
      <c r="E24" s="18">
        <v>16</v>
      </c>
      <c r="F24" s="18"/>
      <c r="G24" s="14">
        <v>100</v>
      </c>
      <c r="H24" s="14">
        <v>35</v>
      </c>
      <c r="I24" s="14"/>
      <c r="J24" s="14"/>
      <c r="K24" s="14">
        <f>E24*(H24+G24)</f>
        <v>2160</v>
      </c>
    </row>
    <row r="25" spans="1:12" ht="115.2" x14ac:dyDescent="0.3">
      <c r="A25" s="20" t="s">
        <v>47</v>
      </c>
      <c r="B25" s="27" t="s">
        <v>48</v>
      </c>
      <c r="C25" s="16"/>
      <c r="D25" s="17" t="s">
        <v>11</v>
      </c>
      <c r="E25" s="18">
        <v>22</v>
      </c>
      <c r="F25" s="18"/>
      <c r="G25" s="14">
        <v>100</v>
      </c>
      <c r="H25" s="14">
        <v>35</v>
      </c>
      <c r="I25" s="14"/>
      <c r="J25" s="14"/>
      <c r="K25" s="14">
        <f>E25*(H25+G25)</f>
        <v>2970</v>
      </c>
    </row>
    <row r="26" spans="1:12" ht="57.6" x14ac:dyDescent="0.3">
      <c r="A26" s="20" t="s">
        <v>49</v>
      </c>
      <c r="B26" s="28" t="s">
        <v>50</v>
      </c>
      <c r="C26" s="16"/>
      <c r="D26" s="17" t="s">
        <v>11</v>
      </c>
      <c r="E26" s="18">
        <v>14</v>
      </c>
      <c r="F26" s="18"/>
      <c r="G26" s="14">
        <v>100</v>
      </c>
      <c r="H26" s="14">
        <v>35</v>
      </c>
      <c r="I26" s="14"/>
      <c r="J26" s="14"/>
      <c r="K26" s="14">
        <f>E26*(H26+G26)</f>
        <v>1890</v>
      </c>
    </row>
    <row r="27" spans="1:12" ht="15.6" x14ac:dyDescent="0.3">
      <c r="A27" s="22"/>
      <c r="B27" s="22"/>
      <c r="C27" s="23"/>
      <c r="D27" s="22"/>
      <c r="E27" s="18"/>
      <c r="F27" s="18"/>
      <c r="G27" s="14"/>
      <c r="H27" s="14"/>
      <c r="I27" s="14"/>
      <c r="J27" s="14"/>
      <c r="K27" s="14"/>
    </row>
    <row r="28" spans="1:12" ht="15.6" x14ac:dyDescent="0.3">
      <c r="A28" s="21" t="s">
        <v>51</v>
      </c>
      <c r="B28" s="5" t="s">
        <v>52</v>
      </c>
      <c r="C28" s="6"/>
      <c r="D28" s="7" t="s">
        <v>1</v>
      </c>
      <c r="E28" s="7" t="s">
        <v>2</v>
      </c>
      <c r="F28" s="7"/>
      <c r="G28" s="8"/>
      <c r="H28" s="8"/>
      <c r="I28" s="8"/>
      <c r="J28" s="8"/>
      <c r="K28" s="9">
        <f>SUM(K29:K32)</f>
        <v>54000</v>
      </c>
    </row>
    <row r="29" spans="1:12" ht="15.6" x14ac:dyDescent="0.3">
      <c r="A29" s="20" t="s">
        <v>53</v>
      </c>
      <c r="B29" s="29" t="s">
        <v>54</v>
      </c>
      <c r="C29" s="19" t="s">
        <v>55</v>
      </c>
      <c r="D29" s="17" t="s">
        <v>8</v>
      </c>
      <c r="E29" s="18">
        <v>1</v>
      </c>
      <c r="F29" s="18">
        <v>80</v>
      </c>
      <c r="G29" s="14">
        <v>0</v>
      </c>
      <c r="H29" s="14">
        <v>25</v>
      </c>
      <c r="I29" s="14">
        <v>25</v>
      </c>
      <c r="J29" s="14"/>
      <c r="K29" s="14">
        <f>F29*(H29+G29)</f>
        <v>2000</v>
      </c>
    </row>
    <row r="30" spans="1:12" ht="31.2" x14ac:dyDescent="0.3">
      <c r="A30" s="20" t="s">
        <v>56</v>
      </c>
      <c r="B30" s="29" t="s">
        <v>57</v>
      </c>
      <c r="C30" s="19" t="s">
        <v>55</v>
      </c>
      <c r="D30" s="17" t="s">
        <v>8</v>
      </c>
      <c r="E30" s="18">
        <v>1</v>
      </c>
      <c r="F30" s="18">
        <v>80</v>
      </c>
      <c r="G30" s="14">
        <v>0</v>
      </c>
      <c r="H30" s="14">
        <v>25</v>
      </c>
      <c r="I30" s="14">
        <v>25</v>
      </c>
      <c r="J30" s="14"/>
      <c r="K30" s="14">
        <f>F30*(H30+G30)</f>
        <v>2000</v>
      </c>
    </row>
    <row r="31" spans="1:12" ht="62.4" x14ac:dyDescent="0.3">
      <c r="A31" s="20" t="s">
        <v>58</v>
      </c>
      <c r="B31" s="29" t="s">
        <v>59</v>
      </c>
      <c r="C31" s="30" t="s">
        <v>60</v>
      </c>
      <c r="D31" s="31" t="s">
        <v>8</v>
      </c>
      <c r="E31" s="32">
        <v>1</v>
      </c>
      <c r="F31" s="32">
        <v>130</v>
      </c>
      <c r="G31" s="14">
        <v>0</v>
      </c>
      <c r="H31" s="14">
        <v>350</v>
      </c>
      <c r="I31" s="14">
        <v>350</v>
      </c>
      <c r="J31" s="14"/>
      <c r="K31" s="14">
        <f t="shared" ref="K31" si="3">F31*(H31+G31)</f>
        <v>45500</v>
      </c>
    </row>
    <row r="32" spans="1:12" ht="144" x14ac:dyDescent="0.3">
      <c r="A32" s="20" t="s">
        <v>61</v>
      </c>
      <c r="B32" s="15" t="s">
        <v>62</v>
      </c>
      <c r="C32" s="19"/>
      <c r="D32" s="17" t="s">
        <v>8</v>
      </c>
      <c r="E32" s="18">
        <v>1</v>
      </c>
      <c r="F32" s="18"/>
      <c r="G32" s="14">
        <v>0</v>
      </c>
      <c r="H32" s="14">
        <v>4500</v>
      </c>
      <c r="I32" s="14"/>
      <c r="J32" s="14"/>
      <c r="K32" s="14">
        <f>E32*(H32+G32)</f>
        <v>4500</v>
      </c>
      <c r="L32" s="45" t="s">
        <v>115</v>
      </c>
    </row>
    <row r="33" spans="1:12" ht="15.6" x14ac:dyDescent="0.3">
      <c r="A33" s="22"/>
      <c r="B33" s="22"/>
      <c r="C33" s="23"/>
      <c r="D33" s="22"/>
      <c r="E33" s="22"/>
      <c r="F33" s="22"/>
      <c r="G33" s="24"/>
      <c r="H33" s="24"/>
      <c r="I33" s="24"/>
      <c r="J33" s="24"/>
      <c r="K33" s="14">
        <f t="shared" ref="K33" si="4">F33*(I33+G33)</f>
        <v>0</v>
      </c>
    </row>
    <row r="34" spans="1:12" ht="15.6" x14ac:dyDescent="0.3">
      <c r="A34" s="21" t="s">
        <v>63</v>
      </c>
      <c r="B34" s="5" t="s">
        <v>64</v>
      </c>
      <c r="C34" s="6"/>
      <c r="D34" s="7" t="s">
        <v>1</v>
      </c>
      <c r="E34" s="7" t="s">
        <v>2</v>
      </c>
      <c r="F34" s="7"/>
      <c r="G34" s="8"/>
      <c r="H34" s="8"/>
      <c r="I34" s="8"/>
      <c r="J34" s="8"/>
      <c r="K34" s="9"/>
    </row>
    <row r="35" spans="1:12" ht="15.6" x14ac:dyDescent="0.3">
      <c r="A35" s="22"/>
      <c r="B35" s="22"/>
      <c r="C35" s="23"/>
      <c r="D35" s="22"/>
      <c r="E35" s="22"/>
      <c r="F35" s="22"/>
      <c r="G35" s="24"/>
      <c r="H35" s="24"/>
      <c r="I35" s="24"/>
      <c r="J35" s="24"/>
      <c r="K35" s="24"/>
    </row>
    <row r="36" spans="1:12" ht="15.6" x14ac:dyDescent="0.3">
      <c r="A36" s="21" t="s">
        <v>65</v>
      </c>
      <c r="B36" s="5" t="s">
        <v>66</v>
      </c>
      <c r="C36" s="6"/>
      <c r="D36" s="7" t="s">
        <v>1</v>
      </c>
      <c r="E36" s="7" t="s">
        <v>2</v>
      </c>
      <c r="F36" s="7"/>
      <c r="G36" s="8"/>
      <c r="H36" s="8"/>
      <c r="I36" s="8"/>
      <c r="J36" s="8"/>
      <c r="K36" s="9">
        <f>SUM(K37:K42)</f>
        <v>188623</v>
      </c>
    </row>
    <row r="37" spans="1:12" ht="93.6" x14ac:dyDescent="0.3">
      <c r="A37" s="20" t="s">
        <v>67</v>
      </c>
      <c r="B37" s="15" t="s">
        <v>68</v>
      </c>
      <c r="C37" s="19"/>
      <c r="D37" s="17" t="s">
        <v>5</v>
      </c>
      <c r="E37" s="33">
        <v>1830.4</v>
      </c>
      <c r="F37" s="33"/>
      <c r="G37" s="14">
        <v>0</v>
      </c>
      <c r="H37" s="14">
        <v>100</v>
      </c>
      <c r="I37" s="14"/>
      <c r="J37" s="14"/>
      <c r="K37" s="14">
        <f>E37*(H37+G37)</f>
        <v>183040</v>
      </c>
    </row>
    <row r="38" spans="1:12" ht="93.6" x14ac:dyDescent="0.3">
      <c r="A38" s="20" t="s">
        <v>69</v>
      </c>
      <c r="B38" s="15" t="s">
        <v>70</v>
      </c>
      <c r="C38" s="16"/>
      <c r="D38" s="17" t="s">
        <v>5</v>
      </c>
      <c r="E38" s="33">
        <v>53.83</v>
      </c>
      <c r="F38" s="33"/>
      <c r="G38" s="14">
        <v>0</v>
      </c>
      <c r="H38" s="14">
        <v>100</v>
      </c>
      <c r="I38" s="14"/>
      <c r="J38" s="14"/>
      <c r="K38" s="14">
        <f t="shared" ref="K38:K39" si="5">E38*(H38+G38)</f>
        <v>5383</v>
      </c>
    </row>
    <row r="39" spans="1:12" ht="93.6" x14ac:dyDescent="0.3">
      <c r="A39" s="20" t="s">
        <v>71</v>
      </c>
      <c r="B39" s="15" t="s">
        <v>72</v>
      </c>
      <c r="C39" s="16"/>
      <c r="D39" s="17" t="s">
        <v>5</v>
      </c>
      <c r="E39" s="33">
        <v>2</v>
      </c>
      <c r="F39" s="33"/>
      <c r="G39" s="14">
        <v>0</v>
      </c>
      <c r="H39" s="14">
        <v>100</v>
      </c>
      <c r="I39" s="14"/>
      <c r="J39" s="14"/>
      <c r="K39" s="14">
        <f t="shared" si="5"/>
        <v>200</v>
      </c>
    </row>
    <row r="40" spans="1:12" ht="31.2" x14ac:dyDescent="0.3">
      <c r="A40" s="20" t="s">
        <v>73</v>
      </c>
      <c r="B40" s="15" t="s">
        <v>101</v>
      </c>
      <c r="C40" s="19"/>
      <c r="D40" s="17" t="s">
        <v>74</v>
      </c>
      <c r="E40" s="33">
        <v>1269</v>
      </c>
      <c r="F40" s="33"/>
      <c r="G40" s="14">
        <v>0</v>
      </c>
      <c r="H40" s="14">
        <v>10</v>
      </c>
      <c r="I40" s="14"/>
      <c r="J40" s="14"/>
      <c r="K40" s="14">
        <f t="shared" ref="K40" si="6">E40*(I40+G40)</f>
        <v>0</v>
      </c>
    </row>
    <row r="41" spans="1:12" ht="93.6" x14ac:dyDescent="0.3">
      <c r="A41" s="20" t="s">
        <v>75</v>
      </c>
      <c r="B41" s="15" t="s">
        <v>76</v>
      </c>
      <c r="C41" s="19"/>
      <c r="D41" s="17" t="s">
        <v>5</v>
      </c>
      <c r="E41" s="33">
        <v>287.83999999999997</v>
      </c>
      <c r="F41" s="33"/>
      <c r="G41" s="14">
        <v>0</v>
      </c>
      <c r="H41" s="14"/>
      <c r="I41" s="14"/>
      <c r="J41" s="14"/>
      <c r="K41" s="14">
        <f t="shared" ref="K41:K42" si="7">F41*(I41+G41)</f>
        <v>0</v>
      </c>
      <c r="L41" t="s">
        <v>112</v>
      </c>
    </row>
    <row r="42" spans="1:12" ht="93.6" x14ac:dyDescent="0.3">
      <c r="A42" s="20" t="s">
        <v>77</v>
      </c>
      <c r="B42" s="15" t="s">
        <v>78</v>
      </c>
      <c r="C42" s="19"/>
      <c r="D42" s="17" t="s">
        <v>5</v>
      </c>
      <c r="E42" s="33">
        <v>23.47</v>
      </c>
      <c r="F42" s="33"/>
      <c r="G42" s="14">
        <v>0</v>
      </c>
      <c r="H42" s="14"/>
      <c r="I42" s="14"/>
      <c r="J42" s="14"/>
      <c r="K42" s="14">
        <f t="shared" si="7"/>
        <v>0</v>
      </c>
      <c r="L42" t="s">
        <v>112</v>
      </c>
    </row>
    <row r="43" spans="1:12" ht="15.6" x14ac:dyDescent="0.3">
      <c r="A43" s="20"/>
      <c r="B43" s="29"/>
      <c r="C43" s="16"/>
      <c r="D43" s="17"/>
      <c r="E43" s="33"/>
      <c r="F43" s="33"/>
      <c r="G43" s="14"/>
      <c r="H43" s="14"/>
      <c r="I43" s="14"/>
      <c r="J43" s="14"/>
      <c r="K43" s="14"/>
    </row>
    <row r="44" spans="1:12" ht="15.6" x14ac:dyDescent="0.3">
      <c r="A44" s="21" t="s">
        <v>79</v>
      </c>
      <c r="B44" s="5" t="s">
        <v>80</v>
      </c>
      <c r="C44" s="6"/>
      <c r="D44" s="7" t="s">
        <v>1</v>
      </c>
      <c r="E44" s="7" t="s">
        <v>2</v>
      </c>
      <c r="F44" s="7"/>
      <c r="G44" s="8"/>
      <c r="H44" s="8"/>
      <c r="I44" s="8"/>
      <c r="J44" s="8"/>
      <c r="K44" s="9">
        <f>SUM(K45)</f>
        <v>305100.00037324999</v>
      </c>
    </row>
    <row r="45" spans="1:12" ht="15.6" x14ac:dyDescent="0.3">
      <c r="A45" s="38"/>
      <c r="B45" s="39" t="s">
        <v>116</v>
      </c>
      <c r="C45" s="40"/>
      <c r="D45" s="41"/>
      <c r="E45" s="13">
        <v>1884.25</v>
      </c>
      <c r="F45" s="13">
        <v>3390</v>
      </c>
      <c r="G45" s="42"/>
      <c r="H45" s="42">
        <v>161.921189</v>
      </c>
      <c r="I45" s="42">
        <v>90</v>
      </c>
      <c r="J45" s="42"/>
      <c r="K45" s="14">
        <f>E45*(H45)</f>
        <v>305100.00037324999</v>
      </c>
    </row>
    <row r="46" spans="1:12" ht="15.6" x14ac:dyDescent="0.3">
      <c r="A46" s="22"/>
      <c r="B46" s="22"/>
      <c r="C46" s="23"/>
      <c r="D46" s="22"/>
      <c r="E46" s="22"/>
      <c r="F46" s="22"/>
      <c r="G46" s="24"/>
      <c r="H46" s="24"/>
      <c r="I46" s="14"/>
      <c r="J46" s="24"/>
      <c r="K46" s="24"/>
    </row>
    <row r="47" spans="1:12" ht="15.6" x14ac:dyDescent="0.3">
      <c r="A47" s="21" t="s">
        <v>81</v>
      </c>
      <c r="B47" s="5" t="s">
        <v>82</v>
      </c>
      <c r="C47" s="6"/>
      <c r="D47" s="7" t="s">
        <v>1</v>
      </c>
      <c r="E47" s="7" t="s">
        <v>2</v>
      </c>
      <c r="F47" s="7"/>
      <c r="G47" s="8"/>
      <c r="H47" s="8"/>
      <c r="I47" s="8"/>
      <c r="J47" s="8"/>
      <c r="K47" s="9">
        <f>SUM(K48)</f>
        <v>1500</v>
      </c>
    </row>
    <row r="48" spans="1:12" ht="43.2" x14ac:dyDescent="0.3">
      <c r="A48" s="31" t="s">
        <v>83</v>
      </c>
      <c r="B48" s="34" t="s">
        <v>84</v>
      </c>
      <c r="C48" s="35" t="s">
        <v>85</v>
      </c>
      <c r="D48" s="17" t="s">
        <v>11</v>
      </c>
      <c r="E48" s="18">
        <v>3</v>
      </c>
      <c r="F48" s="18"/>
      <c r="G48" s="14">
        <v>0</v>
      </c>
      <c r="H48" s="14"/>
      <c r="I48" s="14">
        <v>500</v>
      </c>
      <c r="J48" s="14"/>
      <c r="K48" s="14">
        <f>E48*I48</f>
        <v>1500</v>
      </c>
      <c r="L48" s="45" t="s">
        <v>117</v>
      </c>
    </row>
    <row r="49" spans="1:12" ht="15.6" x14ac:dyDescent="0.3">
      <c r="A49" s="36"/>
      <c r="B49" s="15"/>
      <c r="C49" s="37"/>
      <c r="D49" s="17"/>
      <c r="E49" s="33"/>
      <c r="F49" s="33"/>
      <c r="G49" s="14"/>
      <c r="H49" s="14"/>
      <c r="I49" s="14"/>
      <c r="J49" s="14"/>
      <c r="K49" s="14"/>
    </row>
    <row r="50" spans="1:12" ht="15.6" x14ac:dyDescent="0.3">
      <c r="A50" s="17"/>
      <c r="B50" s="22"/>
      <c r="C50" s="23"/>
      <c r="D50" s="22"/>
      <c r="E50" s="22"/>
      <c r="F50" s="22"/>
      <c r="G50" s="14"/>
      <c r="H50" s="14"/>
      <c r="I50" s="14"/>
      <c r="J50" s="14"/>
      <c r="K50" s="14"/>
    </row>
    <row r="51" spans="1:12" ht="15.6" x14ac:dyDescent="0.3">
      <c r="A51" s="21" t="s">
        <v>86</v>
      </c>
      <c r="B51" s="5" t="s">
        <v>87</v>
      </c>
      <c r="C51" s="6"/>
      <c r="D51" s="7" t="s">
        <v>1</v>
      </c>
      <c r="E51" s="7" t="s">
        <v>2</v>
      </c>
      <c r="F51" s="7"/>
      <c r="G51" s="8"/>
      <c r="H51" s="8"/>
      <c r="I51" s="8"/>
      <c r="J51" s="8"/>
      <c r="K51" s="9">
        <f>SUM(K52:K53)</f>
        <v>0</v>
      </c>
    </row>
    <row r="52" spans="1:12" ht="15.6" x14ac:dyDescent="0.3">
      <c r="A52" s="22"/>
      <c r="B52" s="22" t="s">
        <v>118</v>
      </c>
      <c r="C52" s="23"/>
      <c r="D52" s="17" t="s">
        <v>74</v>
      </c>
      <c r="E52" s="17">
        <v>212</v>
      </c>
      <c r="F52" s="22"/>
      <c r="G52" s="24"/>
      <c r="H52" s="24"/>
      <c r="I52" s="46"/>
      <c r="J52" s="24"/>
      <c r="K52" s="24"/>
    </row>
    <row r="53" spans="1:12" ht="15.6" x14ac:dyDescent="0.3">
      <c r="A53" s="22"/>
      <c r="B53" s="22" t="s">
        <v>119</v>
      </c>
      <c r="C53" s="23"/>
      <c r="D53" s="17" t="s">
        <v>74</v>
      </c>
      <c r="E53" s="17">
        <v>165</v>
      </c>
      <c r="F53" s="22"/>
      <c r="G53" s="24"/>
      <c r="H53" s="24"/>
      <c r="I53" s="46"/>
      <c r="J53" s="24"/>
      <c r="K53" s="24"/>
    </row>
    <row r="54" spans="1:12" ht="15.6" x14ac:dyDescent="0.3">
      <c r="A54" s="21" t="s">
        <v>88</v>
      </c>
      <c r="B54" s="5" t="s">
        <v>89</v>
      </c>
      <c r="C54" s="6"/>
      <c r="D54" s="7" t="s">
        <v>1</v>
      </c>
      <c r="E54" s="7" t="s">
        <v>2</v>
      </c>
      <c r="F54" s="7"/>
      <c r="G54" s="8"/>
      <c r="H54" s="8"/>
      <c r="I54" s="8"/>
      <c r="J54" s="8"/>
      <c r="K54" s="9"/>
    </row>
    <row r="55" spans="1:12" ht="15.6" x14ac:dyDescent="0.3">
      <c r="A55" s="22"/>
      <c r="B55" s="22"/>
      <c r="C55" s="23"/>
      <c r="D55" s="22"/>
      <c r="E55" s="22"/>
      <c r="F55" s="22"/>
      <c r="G55" s="24"/>
      <c r="H55" s="24"/>
      <c r="I55" s="24"/>
      <c r="J55" s="24"/>
      <c r="K55" s="24"/>
    </row>
    <row r="56" spans="1:12" ht="15.6" x14ac:dyDescent="0.3">
      <c r="A56" s="21" t="s">
        <v>90</v>
      </c>
      <c r="B56" s="5" t="s">
        <v>91</v>
      </c>
      <c r="C56" s="6"/>
      <c r="D56" s="7" t="s">
        <v>1</v>
      </c>
      <c r="E56" s="7" t="s">
        <v>2</v>
      </c>
      <c r="F56" s="7"/>
      <c r="G56" s="8"/>
      <c r="H56" s="8"/>
      <c r="I56" s="8"/>
      <c r="J56" s="8"/>
      <c r="K56" s="9">
        <f>SUM(K57)</f>
        <v>273819.20999999996</v>
      </c>
    </row>
    <row r="57" spans="1:12" ht="46.8" x14ac:dyDescent="0.3">
      <c r="A57" s="17" t="s">
        <v>92</v>
      </c>
      <c r="B57" s="15" t="s">
        <v>93</v>
      </c>
      <c r="C57" s="16"/>
      <c r="D57" s="17" t="s">
        <v>5</v>
      </c>
      <c r="E57" s="13">
        <v>1884.25</v>
      </c>
      <c r="F57" s="33"/>
      <c r="G57" s="14">
        <f>78.82+2.5</f>
        <v>81.319999999999993</v>
      </c>
      <c r="H57" s="14">
        <v>64</v>
      </c>
      <c r="I57" s="14"/>
      <c r="J57" s="14">
        <f>G57*E57</f>
        <v>153227.21</v>
      </c>
      <c r="K57" s="14">
        <f>SUM(G57:H57)*E57</f>
        <v>273819.20999999996</v>
      </c>
      <c r="L57" s="45" t="s">
        <v>122</v>
      </c>
    </row>
    <row r="58" spans="1:12" ht="15.6" x14ac:dyDescent="0.3">
      <c r="A58" s="22"/>
      <c r="B58" s="22"/>
      <c r="C58" s="23"/>
      <c r="D58" s="22"/>
      <c r="E58" s="22"/>
      <c r="F58" s="22"/>
      <c r="G58" s="24"/>
      <c r="H58" s="24"/>
      <c r="I58" s="24"/>
      <c r="J58" s="24"/>
      <c r="K58" s="24"/>
    </row>
    <row r="59" spans="1:12" ht="15.6" x14ac:dyDescent="0.3">
      <c r="A59" s="21" t="s">
        <v>94</v>
      </c>
      <c r="B59" s="5" t="s">
        <v>95</v>
      </c>
      <c r="C59" s="6"/>
      <c r="D59" s="7" t="s">
        <v>1</v>
      </c>
      <c r="E59" s="7" t="s">
        <v>2</v>
      </c>
      <c r="F59" s="7"/>
      <c r="G59" s="8"/>
      <c r="H59" s="8"/>
      <c r="I59" s="8"/>
      <c r="J59" s="8"/>
      <c r="K59" s="9"/>
    </row>
    <row r="60" spans="1:12" ht="15.6" x14ac:dyDescent="0.3">
      <c r="A60" s="22"/>
      <c r="B60" s="22"/>
      <c r="C60" s="23"/>
      <c r="D60" s="22"/>
      <c r="E60" s="22"/>
      <c r="F60" s="22"/>
      <c r="G60" s="24"/>
      <c r="H60" s="24"/>
      <c r="I60" s="24"/>
      <c r="J60" s="24"/>
      <c r="K60" s="24"/>
    </row>
    <row r="61" spans="1:12" ht="27" customHeight="1" x14ac:dyDescent="0.3">
      <c r="A61" s="21" t="s">
        <v>96</v>
      </c>
      <c r="B61" s="5" t="s">
        <v>97</v>
      </c>
      <c r="C61" s="6"/>
      <c r="D61" s="7" t="s">
        <v>1</v>
      </c>
      <c r="E61" s="7" t="s">
        <v>2</v>
      </c>
      <c r="F61" s="7"/>
      <c r="G61" s="8"/>
      <c r="H61" s="8"/>
      <c r="I61" s="8"/>
      <c r="J61" s="8"/>
      <c r="K61" s="9">
        <f>SUM(K62)</f>
        <v>0</v>
      </c>
    </row>
    <row r="62" spans="1:12" ht="358.8" x14ac:dyDescent="0.3">
      <c r="A62" s="47" t="s">
        <v>98</v>
      </c>
      <c r="B62" s="48" t="s">
        <v>99</v>
      </c>
      <c r="C62" s="49"/>
      <c r="D62" s="47" t="s">
        <v>11</v>
      </c>
      <c r="E62" s="50">
        <v>220</v>
      </c>
      <c r="F62" s="50"/>
      <c r="G62" s="51">
        <v>0</v>
      </c>
      <c r="H62" s="51"/>
      <c r="I62" s="51"/>
      <c r="J62" s="51"/>
      <c r="K62" s="51">
        <v>0</v>
      </c>
      <c r="L62" s="45" t="s">
        <v>125</v>
      </c>
    </row>
    <row r="63" spans="1:12" ht="27" customHeight="1" x14ac:dyDescent="0.3">
      <c r="A63" s="21" t="s">
        <v>120</v>
      </c>
      <c r="B63" s="5" t="s">
        <v>121</v>
      </c>
      <c r="C63" s="6"/>
      <c r="D63" s="7" t="s">
        <v>1</v>
      </c>
      <c r="E63" s="7" t="s">
        <v>2</v>
      </c>
      <c r="F63" s="7"/>
      <c r="G63" s="8"/>
      <c r="H63" s="8"/>
      <c r="I63" s="8"/>
      <c r="J63" s="8"/>
      <c r="K63" s="9">
        <f>SUM(K64:K70)</f>
        <v>34725</v>
      </c>
    </row>
    <row r="64" spans="1:12" ht="31.2" x14ac:dyDescent="0.3">
      <c r="A64" s="22" t="s">
        <v>126</v>
      </c>
      <c r="B64" s="34" t="s">
        <v>134</v>
      </c>
      <c r="C64" s="23"/>
      <c r="D64" s="17" t="s">
        <v>8</v>
      </c>
      <c r="E64" s="17">
        <v>1</v>
      </c>
      <c r="F64" s="22"/>
      <c r="G64" s="24"/>
      <c r="H64" s="24"/>
      <c r="I64" s="24"/>
      <c r="J64" s="24"/>
      <c r="K64" s="14">
        <f t="shared" ref="K64:K70" si="8">E64*I64</f>
        <v>0</v>
      </c>
    </row>
    <row r="65" spans="1:11" ht="15.6" x14ac:dyDescent="0.3">
      <c r="A65" s="22" t="s">
        <v>127</v>
      </c>
      <c r="B65" s="22" t="s">
        <v>124</v>
      </c>
      <c r="C65" s="23"/>
      <c r="D65" s="17" t="s">
        <v>123</v>
      </c>
      <c r="E65" s="17">
        <v>37</v>
      </c>
      <c r="F65" s="22"/>
      <c r="G65" s="24"/>
      <c r="H65" s="24"/>
      <c r="I65" s="24"/>
      <c r="J65" s="24"/>
      <c r="K65" s="14">
        <f t="shared" si="8"/>
        <v>0</v>
      </c>
    </row>
    <row r="66" spans="1:11" ht="31.2" x14ac:dyDescent="0.3">
      <c r="A66" s="22" t="s">
        <v>128</v>
      </c>
      <c r="B66" s="34" t="s">
        <v>129</v>
      </c>
      <c r="C66" s="23"/>
      <c r="D66" s="17" t="s">
        <v>8</v>
      </c>
      <c r="E66" s="17">
        <v>1</v>
      </c>
      <c r="F66" s="22"/>
      <c r="G66" s="24"/>
      <c r="H66" s="24"/>
      <c r="I66" s="24"/>
      <c r="J66" s="24"/>
      <c r="K66" s="14">
        <f t="shared" si="8"/>
        <v>0</v>
      </c>
    </row>
    <row r="67" spans="1:11" ht="15.6" x14ac:dyDescent="0.3">
      <c r="A67" s="22" t="s">
        <v>130</v>
      </c>
      <c r="B67" s="22" t="s">
        <v>135</v>
      </c>
      <c r="C67" s="23"/>
      <c r="D67" s="17" t="s">
        <v>8</v>
      </c>
      <c r="E67" s="17">
        <v>1</v>
      </c>
      <c r="F67" s="22"/>
      <c r="G67" s="24"/>
      <c r="H67" s="24">
        <v>3000</v>
      </c>
      <c r="I67" s="24"/>
      <c r="J67" s="24"/>
      <c r="K67" s="14">
        <f>H67*E67</f>
        <v>3000</v>
      </c>
    </row>
    <row r="68" spans="1:11" ht="46.8" x14ac:dyDescent="0.3">
      <c r="A68" s="22" t="s">
        <v>131</v>
      </c>
      <c r="B68" s="34" t="s">
        <v>136</v>
      </c>
      <c r="C68" s="23"/>
      <c r="D68" s="17" t="s">
        <v>8</v>
      </c>
      <c r="E68" s="17">
        <v>1</v>
      </c>
      <c r="F68" s="22"/>
      <c r="G68" s="24"/>
      <c r="H68" s="24"/>
      <c r="I68" s="24"/>
      <c r="J68" s="24"/>
      <c r="K68" s="14">
        <f t="shared" si="8"/>
        <v>0</v>
      </c>
    </row>
    <row r="69" spans="1:11" ht="15.6" x14ac:dyDescent="0.3">
      <c r="A69" s="22" t="s">
        <v>132</v>
      </c>
      <c r="B69" s="22" t="s">
        <v>137</v>
      </c>
      <c r="C69" s="23"/>
      <c r="D69" s="17" t="s">
        <v>74</v>
      </c>
      <c r="E69" s="17">
        <v>1269</v>
      </c>
      <c r="F69" s="22"/>
      <c r="G69" s="24"/>
      <c r="H69" s="24">
        <v>25</v>
      </c>
      <c r="I69" s="24"/>
      <c r="J69" s="24"/>
      <c r="K69" s="14">
        <f>E69*H69</f>
        <v>31725</v>
      </c>
    </row>
    <row r="70" spans="1:11" ht="15.6" x14ac:dyDescent="0.3">
      <c r="A70" s="22" t="s">
        <v>133</v>
      </c>
      <c r="B70" s="22" t="s">
        <v>138</v>
      </c>
      <c r="C70" s="23"/>
      <c r="D70" s="17" t="s">
        <v>8</v>
      </c>
      <c r="E70" s="17">
        <v>1</v>
      </c>
      <c r="F70" s="22"/>
      <c r="G70" s="24"/>
      <c r="H70" s="24"/>
      <c r="I70" s="24"/>
      <c r="J70" s="24"/>
      <c r="K70" s="14">
        <f t="shared" si="8"/>
        <v>0</v>
      </c>
    </row>
    <row r="71" spans="1:11" ht="29.25" customHeight="1" x14ac:dyDescent="0.5">
      <c r="K71" s="52">
        <f>SUM(K3,K14,K21,K23,K28,K36,K44,K47,K51,K56,K61,K63)</f>
        <v>1128587.2103712498</v>
      </c>
    </row>
  </sheetData>
  <mergeCells count="6">
    <mergeCell ref="G1:K1"/>
    <mergeCell ref="A1:A2"/>
    <mergeCell ref="B1:B2"/>
    <mergeCell ref="C1:C2"/>
    <mergeCell ref="D1:D2"/>
    <mergeCell ref="E1:E2"/>
  </mergeCells>
  <phoneticPr fontId="13" type="noConversion"/>
  <pageMargins left="0.511811024" right="0.511811024" top="0.78740157499999996" bottom="0.78740157499999996" header="0.31496062000000002" footer="0.31496062000000002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 Matsuura Tonaco</dc:creator>
  <cp:lastModifiedBy>Renan Guimarães</cp:lastModifiedBy>
  <cp:lastPrinted>2026-10-01T03:57:44Z</cp:lastPrinted>
  <dcterms:created xsi:type="dcterms:W3CDTF">2026-10-01T03:34:07Z</dcterms:created>
  <dcterms:modified xsi:type="dcterms:W3CDTF">2026-10-08T20:19:06Z</dcterms:modified>
</cp:coreProperties>
</file>