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_de_trabalho"/>
  <workbookProtection lockStructure="1" workbookAlgorithmName="SHA-512" workbookHashValue="JrydxKR2Vrciimfa58v2sTxB8zkzkk/lBt2gF2fJiceevMXhzxq1xRhWrKXl/XhbLSN0bpebzCKio/ecxv7/4w==" workbookSaltValue="dhu39uXeEMgsof0TvbtWSQ==" workbookSpinCount="100000"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name="FACHADA" sheetId="1" state="visible" r:id="rId1"/>
  </sheets>
  <definedNames>
    <definedName name="_xlnm.Print_Area" localSheetId="0">'FACHADA'!$A$1:$I$128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28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 Light"/>
      <family val="2"/>
      <b val="1"/>
      <sz val="12"/>
    </font>
    <font>
      <name val="Calibri Light"/>
      <family val="2"/>
      <sz val="12"/>
    </font>
    <font>
      <name val="Arial"/>
      <family val="2"/>
      <sz val="8"/>
    </font>
    <font>
      <name val="Arial"/>
      <family val="2"/>
      <color theme="10"/>
      <sz val="10"/>
      <u val="single"/>
    </font>
    <font>
      <name val="Arial"/>
      <family val="2"/>
      <color theme="1"/>
      <sz val="8"/>
    </font>
    <font>
      <name val="Calibri Light"/>
      <family val="2"/>
      <color rgb="FFC00000"/>
      <sz val="12"/>
    </font>
    <font>
      <name val="Calibri Light"/>
      <family val="2"/>
      <b val="1"/>
      <color rgb="FFFF0000"/>
      <sz val="12"/>
    </font>
    <font>
      <name val="Arial"/>
      <family val="2"/>
      <sz val="10"/>
    </font>
    <font>
      <name val="Calibri Light"/>
      <family val="2"/>
      <b val="1"/>
      <color theme="0"/>
      <sz val="12"/>
    </font>
    <font>
      <name val="Calibri Light"/>
      <family val="2"/>
      <b val="1"/>
      <color theme="1" tint="0.3499862666707358"/>
      <sz val="12"/>
    </font>
    <font>
      <name val="Calibri Light"/>
      <family val="2"/>
      <color theme="1" tint="0.3499862666707358"/>
      <sz val="12"/>
    </font>
    <font>
      <name val="Calibri Light"/>
      <family val="2"/>
      <color theme="1"/>
      <sz val="12"/>
    </font>
    <font>
      <name val="Arial"/>
      <family val="2"/>
      <color theme="10"/>
      <sz val="10"/>
      <u val="single"/>
    </font>
    <font>
      <name val="Calibri Light"/>
      <family val="2"/>
      <color rgb="FFFF0000"/>
      <sz val="12"/>
    </font>
    <font>
      <name val="Calibri Light"/>
      <family val="2"/>
      <b val="1"/>
      <color theme="0"/>
      <sz val="10"/>
    </font>
    <font>
      <name val="Calibri Light"/>
      <family val="2"/>
      <color rgb="FFEE0000"/>
      <sz val="11"/>
    </font>
    <font>
      <name val="Calibri Light"/>
      <family val="2"/>
      <b val="1"/>
      <color theme="0"/>
      <sz val="7"/>
    </font>
    <font>
      <name val="Calibri Light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Calibri Light"/>
      <family val="2"/>
      <sz val="11"/>
    </font>
    <font>
      <name val="Calibri Light"/>
      <family val="2"/>
      <color theme="1"/>
      <sz val="11"/>
    </font>
    <font>
      <name val="Calibri Light"/>
      <family val="2"/>
      <i val="1"/>
      <color theme="1"/>
      <sz val="11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</borders>
  <cellStyleXfs count="22">
    <xf numFmtId="0" fontId="0" fillId="0" borderId="0"/>
    <xf numFmtId="0" fontId="13" fillId="0" borderId="0"/>
    <xf numFmtId="43" fontId="13" fillId="0" borderId="0"/>
    <xf numFmtId="9" fontId="13" fillId="0" borderId="0"/>
    <xf numFmtId="0" fontId="10" fillId="0" borderId="0"/>
    <xf numFmtId="0" fontId="4" fillId="0" borderId="0"/>
    <xf numFmtId="43" fontId="4" fillId="0" borderId="0"/>
    <xf numFmtId="44" fontId="4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43" fontId="13" fillId="0" borderId="0"/>
    <xf numFmtId="0" fontId="18" fillId="0" borderId="0"/>
    <xf numFmtId="43" fontId="13" fillId="0" borderId="0"/>
    <xf numFmtId="0" fontId="4" fillId="0" borderId="0"/>
    <xf numFmtId="43" fontId="4" fillId="0" borderId="0"/>
    <xf numFmtId="43" fontId="13" fillId="0" borderId="0"/>
    <xf numFmtId="44" fontId="13" fillId="0" borderId="0"/>
    <xf numFmtId="0" fontId="18" fillId="0" borderId="0"/>
    <xf numFmtId="0" fontId="4" fillId="0" borderId="0"/>
    <xf numFmtId="0" fontId="4" fillId="0" borderId="0"/>
  </cellStyleXfs>
  <cellXfs count="171">
    <xf numFmtId="0" fontId="0" fillId="0" borderId="0" pivotButton="0" quotePrefix="0" xfId="0"/>
    <xf numFmtId="0" fontId="7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/>
    </xf>
    <xf numFmtId="4" fontId="7" fillId="2" borderId="0" applyAlignment="1" pivotButton="0" quotePrefix="0" xfId="0">
      <alignment vertical="center"/>
    </xf>
    <xf numFmtId="2" fontId="7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43" fontId="7" fillId="2" borderId="0" applyAlignment="1" pivotButton="0" quotePrefix="0" xfId="0">
      <alignment vertical="center"/>
    </xf>
    <xf numFmtId="0" fontId="7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43" fontId="7" fillId="2" borderId="1" applyAlignment="1" pivotButton="0" quotePrefix="0" xfId="0">
      <alignment vertical="center"/>
    </xf>
    <xf numFmtId="0" fontId="7" fillId="2" borderId="1" applyAlignment="1" pivotButton="0" quotePrefix="0" xfId="0">
      <alignment vertical="center" wrapText="1"/>
    </xf>
    <xf numFmtId="0" fontId="7" fillId="2" borderId="0" pivotButton="0" quotePrefix="0" xfId="0"/>
    <xf numFmtId="0" fontId="7" fillId="2" borderId="1" applyAlignment="1" pivotButton="0" quotePrefix="0" xfId="0">
      <alignment horizontal="center" vertical="center" wrapText="1"/>
    </xf>
    <xf numFmtId="43" fontId="7" fillId="2" borderId="1" applyAlignment="1" applyProtection="1" pivotButton="0" quotePrefix="0" xfId="0">
      <alignment horizontal="center" vertical="center"/>
      <protection locked="1" hidden="1"/>
    </xf>
    <xf numFmtId="0" fontId="7" fillId="2" borderId="8" applyAlignment="1" pivotButton="0" quotePrefix="0" xfId="0">
      <alignment horizontal="center" vertical="center"/>
    </xf>
    <xf numFmtId="0" fontId="7" fillId="2" borderId="2" applyAlignment="1" pivotButton="0" quotePrefix="0" xfId="0">
      <alignment vertical="center"/>
    </xf>
    <xf numFmtId="0" fontId="7" fillId="2" borderId="3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7" fillId="2" borderId="0" applyAlignment="1" pivotButton="0" quotePrefix="1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14" fontId="7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 wrapText="1"/>
    </xf>
    <xf numFmtId="0" fontId="7" fillId="2" borderId="7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 wrapText="1"/>
    </xf>
    <xf numFmtId="43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164" fontId="7" fillId="2" borderId="1" applyAlignment="1" applyProtection="1" pivotButton="0" quotePrefix="0" xfId="18">
      <alignment horizontal="right" vertical="center"/>
      <protection locked="0" hidden="0"/>
    </xf>
    <xf numFmtId="164" fontId="7" fillId="2" borderId="0" applyAlignment="1" pivotButton="0" quotePrefix="0" xfId="18">
      <alignment vertical="center"/>
    </xf>
    <xf numFmtId="164" fontId="7" fillId="2" borderId="3" applyAlignment="1" pivotButton="0" quotePrefix="0" xfId="18">
      <alignment vertical="center"/>
    </xf>
    <xf numFmtId="164" fontId="7" fillId="2" borderId="1" applyAlignment="1" applyProtection="1" pivotButton="0" quotePrefix="0" xfId="18">
      <alignment horizontal="center" vertical="center"/>
      <protection locked="1" hidden="1"/>
    </xf>
    <xf numFmtId="164" fontId="7" fillId="2" borderId="1" applyAlignment="1" pivotButton="0" quotePrefix="0" xfId="18">
      <alignment horizontal="right" vertical="center" wrapText="1"/>
    </xf>
    <xf numFmtId="164" fontId="7" fillId="2" borderId="0" applyAlignment="1" pivotButton="0" quotePrefix="0" xfId="18">
      <alignment horizontal="center" vertical="center"/>
    </xf>
    <xf numFmtId="164" fontId="7" fillId="2" borderId="0" applyAlignment="1" pivotButton="0" quotePrefix="0" xfId="18">
      <alignment vertical="center"/>
    </xf>
    <xf numFmtId="0" fontId="7" fillId="0" borderId="1" applyAlignment="1" pivotButton="0" quotePrefix="0" xfId="0">
      <alignment horizontal="left" vertical="center" wrapText="1"/>
    </xf>
    <xf numFmtId="164" fontId="14" fillId="3" borderId="2" applyAlignment="1" applyProtection="1" pivotButton="0" quotePrefix="0" xfId="18">
      <alignment vertical="center" wrapText="1"/>
      <protection locked="1" hidden="1"/>
    </xf>
    <xf numFmtId="0" fontId="16" fillId="2" borderId="1" applyAlignment="1" pivotButton="0" quotePrefix="0" xfId="0">
      <alignment vertical="center" wrapText="1"/>
    </xf>
    <xf numFmtId="0" fontId="16" fillId="2" borderId="0" applyAlignment="1" pivotButton="0" quotePrefix="0" xfId="0">
      <alignment vertical="center"/>
    </xf>
    <xf numFmtId="0" fontId="16" fillId="2" borderId="1" applyAlignment="1" pivotButton="0" quotePrefix="0" xfId="0">
      <alignment horizontal="left" vertical="center" wrapText="1"/>
    </xf>
    <xf numFmtId="0" fontId="16" fillId="2" borderId="3" applyAlignment="1" pivotButton="0" quotePrefix="0" xfId="0">
      <alignment vertical="center"/>
    </xf>
    <xf numFmtId="0" fontId="16" fillId="2" borderId="0" applyAlignment="1" pivotButton="0" quotePrefix="0" xfId="0">
      <alignment horizontal="center" vertical="center"/>
    </xf>
    <xf numFmtId="0" fontId="16" fillId="2" borderId="1" applyAlignment="1" applyProtection="1" pivotButton="0" quotePrefix="0" xfId="15">
      <alignment horizontal="left" vertical="top" wrapText="1"/>
      <protection locked="0" hidden="0"/>
    </xf>
    <xf numFmtId="164" fontId="7" fillId="2" borderId="2" applyAlignment="1" applyProtection="1" pivotButton="0" quotePrefix="0" xfId="18">
      <alignment horizontal="right" vertical="center"/>
      <protection locked="0" hidden="0"/>
    </xf>
    <xf numFmtId="49" fontId="6" fillId="4" borderId="1" applyAlignment="1" applyProtection="1" pivotButton="0" quotePrefix="0" xfId="0">
      <alignment horizontal="center" vertical="center"/>
      <protection locked="1" hidden="1"/>
    </xf>
    <xf numFmtId="0" fontId="6" fillId="4" borderId="1" applyAlignment="1" pivotButton="0" quotePrefix="0" xfId="0">
      <alignment horizontal="left" vertical="center"/>
    </xf>
    <xf numFmtId="0" fontId="15" fillId="4" borderId="1" applyAlignment="1" applyProtection="1" pivotButton="0" quotePrefix="0" xfId="0">
      <alignment horizontal="left" vertical="center" wrapText="1"/>
      <protection locked="1" hidden="1"/>
    </xf>
    <xf numFmtId="43" fontId="6" fillId="4" borderId="1" applyAlignment="1" applyProtection="1" pivotButton="0" quotePrefix="0" xfId="0">
      <alignment horizontal="center" vertical="center"/>
      <protection locked="1" hidden="1"/>
    </xf>
    <xf numFmtId="164" fontId="6" fillId="4" borderId="1" applyAlignment="1" applyProtection="1" pivotButton="0" quotePrefix="0" xfId="18">
      <alignment vertical="center"/>
      <protection locked="1" hidden="1"/>
    </xf>
    <xf numFmtId="164" fontId="6" fillId="4" borderId="1" applyAlignment="1" applyProtection="1" pivotButton="0" quotePrefix="0" xfId="18">
      <alignment horizontal="center" vertical="center"/>
      <protection locked="1" hidden="1"/>
    </xf>
    <xf numFmtId="164" fontId="6" fillId="4" borderId="2" applyAlignment="1" applyProtection="1" pivotButton="0" quotePrefix="0" xfId="18">
      <alignment vertical="center"/>
      <protection locked="1" hidden="1"/>
    </xf>
    <xf numFmtId="164" fontId="7" fillId="2" borderId="0" applyAlignment="1" applyProtection="1" pivotButton="0" quotePrefix="0" xfId="18">
      <alignment horizontal="right" vertical="center"/>
      <protection locked="0" hidden="0"/>
    </xf>
    <xf numFmtId="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wrapText="1"/>
    </xf>
    <xf numFmtId="43" fontId="17" fillId="0" borderId="1" applyAlignment="1" pivotButton="0" quotePrefix="0" xfId="0">
      <alignment vertical="center"/>
    </xf>
    <xf numFmtId="0" fontId="16" fillId="0" borderId="1" applyAlignment="1" pivotButton="0" quotePrefix="0" xfId="0">
      <alignment vertical="center" wrapText="1"/>
    </xf>
    <xf numFmtId="164" fontId="7" fillId="0" borderId="1" applyAlignment="1" applyProtection="1" pivotButton="0" quotePrefix="0" xfId="18">
      <alignment horizontal="right" vertical="center"/>
      <protection locked="0" hidden="0"/>
    </xf>
    <xf numFmtId="164" fontId="7" fillId="0" borderId="2" applyAlignment="1" applyProtection="1" pivotButton="0" quotePrefix="0" xfId="18">
      <alignment horizontal="right" vertical="center"/>
      <protection locked="0" hidden="0"/>
    </xf>
    <xf numFmtId="0" fontId="7" fillId="2" borderId="12" applyAlignment="1" pivotButton="0" quotePrefix="0" xfId="0">
      <alignment horizontal="left" vertical="center" wrapText="1"/>
    </xf>
    <xf numFmtId="0" fontId="16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43" fontId="7" fillId="2" borderId="0" applyAlignment="1" applyProtection="1" pivotButton="0" quotePrefix="0" xfId="0">
      <alignment horizontal="center" vertical="center"/>
      <protection locked="1" hidden="1"/>
    </xf>
    <xf numFmtId="0" fontId="15" fillId="2" borderId="1" applyAlignment="1" pivotButton="0" quotePrefix="0" xfId="0">
      <alignment vertical="center" wrapText="1"/>
    </xf>
    <xf numFmtId="0" fontId="7" fillId="2" borderId="12" applyAlignment="1" pivotButton="0" quotePrefix="0" xfId="0">
      <alignment horizontal="center" vertical="center"/>
    </xf>
    <xf numFmtId="0" fontId="16" fillId="2" borderId="12" applyAlignment="1" pivotButton="0" quotePrefix="0" xfId="0">
      <alignment vertical="center" wrapText="1"/>
    </xf>
    <xf numFmtId="0" fontId="17" fillId="2" borderId="12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justify" vertical="center"/>
    </xf>
    <xf numFmtId="0" fontId="11" fillId="2" borderId="1" applyAlignment="1" pivotButton="0" quotePrefix="0" xfId="0">
      <alignment horizontal="left" vertical="center" wrapText="1"/>
    </xf>
    <xf numFmtId="43" fontId="19" fillId="2" borderId="1" applyAlignment="1" applyProtection="1" pivotButton="0" quotePrefix="0" xfId="0">
      <alignment horizontal="center" vertical="center"/>
      <protection locked="1" hidden="1"/>
    </xf>
    <xf numFmtId="0" fontId="6" fillId="2" borderId="10" applyAlignment="1" pivotButton="0" quotePrefix="0" xfId="0">
      <alignment horizontal="left" vertical="center"/>
    </xf>
    <xf numFmtId="49" fontId="6" fillId="2" borderId="14" applyAlignment="1" applyProtection="1" pivotButton="0" quotePrefix="0" xfId="0">
      <alignment horizontal="left" vertical="center"/>
      <protection locked="1" hidden="1"/>
    </xf>
    <xf numFmtId="43" fontId="20" fillId="6" borderId="3" applyAlignment="1" applyProtection="1" pivotButton="0" quotePrefix="0" xfId="0">
      <alignment horizontal="center" vertical="center" wrapText="1"/>
      <protection locked="1" hidden="1"/>
    </xf>
    <xf numFmtId="43" fontId="20" fillId="5" borderId="11" applyAlignment="1" applyProtection="1" pivotButton="0" quotePrefix="0" xfId="0">
      <alignment horizontal="center" vertical="center"/>
      <protection locked="1" hidden="1"/>
    </xf>
    <xf numFmtId="164" fontId="7" fillId="2" borderId="3" applyAlignment="1" applyProtection="1" pivotButton="0" quotePrefix="0" xfId="18">
      <alignment horizontal="right" vertical="center"/>
      <protection locked="0" hidden="0"/>
    </xf>
    <xf numFmtId="0" fontId="7" fillId="2" borderId="10" applyAlignment="1" pivotButton="0" quotePrefix="0" xfId="0">
      <alignment horizontal="left" vertical="center"/>
    </xf>
    <xf numFmtId="0" fontId="7" fillId="2" borderId="10" applyAlignment="1" pivotButton="0" quotePrefix="0" xfId="0">
      <alignment horizontal="center" vertical="center"/>
    </xf>
    <xf numFmtId="0" fontId="23" fillId="2" borderId="0" applyAlignment="1" pivotButton="0" quotePrefix="0" xfId="0">
      <alignment vertical="center" wrapText="1"/>
    </xf>
    <xf numFmtId="0" fontId="23" fillId="2" borderId="0" applyAlignment="1" pivotButton="0" quotePrefix="0" xfId="0">
      <alignment vertical="center"/>
    </xf>
    <xf numFmtId="43" fontId="17" fillId="2" borderId="1" applyAlignment="1" pivotButton="0" quotePrefix="0" xfId="0">
      <alignment vertical="center"/>
    </xf>
    <xf numFmtId="43" fontId="7" fillId="2" borderId="1" applyAlignment="1" pivotButton="0" quotePrefix="0" xfId="0">
      <alignment horizontal="center" vertical="center"/>
    </xf>
    <xf numFmtId="0" fontId="25" fillId="2" borderId="1" applyAlignment="1" pivotButton="0" quotePrefix="0" xfId="0">
      <alignment horizontal="left" vertical="center" wrapText="1"/>
    </xf>
    <xf numFmtId="0" fontId="26" fillId="2" borderId="1" applyAlignment="1" pivotButton="0" quotePrefix="0" xfId="0">
      <alignment horizontal="left" vertical="center" wrapText="1"/>
    </xf>
    <xf numFmtId="43" fontId="17" fillId="2" borderId="1" applyAlignment="1" applyProtection="1" pivotButton="0" quotePrefix="0" xfId="0">
      <alignment horizontal="center" vertical="center"/>
      <protection locked="1" hidden="1"/>
    </xf>
    <xf numFmtId="43" fontId="14" fillId="7" borderId="5" applyAlignment="1" applyProtection="1" pivotButton="0" quotePrefix="0" xfId="0">
      <alignment horizontal="center" vertical="center"/>
      <protection locked="1" hidden="1"/>
    </xf>
    <xf numFmtId="43" fontId="14" fillId="7" borderId="3" applyAlignment="1" applyProtection="1" pivotButton="0" quotePrefix="0" xfId="0">
      <alignment horizontal="center" vertical="center"/>
      <protection locked="1" hidden="1"/>
    </xf>
    <xf numFmtId="43" fontId="14" fillId="7" borderId="5" applyAlignment="1" applyProtection="1" pivotButton="0" quotePrefix="0" xfId="0">
      <alignment horizontal="center" vertical="center" wrapText="1"/>
      <protection locked="1" hidden="1"/>
    </xf>
    <xf numFmtId="43" fontId="14" fillId="7" borderId="11" applyAlignment="1" applyProtection="1" pivotButton="0" quotePrefix="0" xfId="0">
      <alignment horizontal="center" vertical="center"/>
      <protection locked="1" hidden="1"/>
    </xf>
    <xf numFmtId="0" fontId="23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43" fontId="14" fillId="7" borderId="2" applyAlignment="1" applyProtection="1" pivotButton="0" quotePrefix="0" xfId="0">
      <alignment horizontal="center" vertical="center"/>
      <protection locked="1" hidden="1"/>
    </xf>
    <xf numFmtId="43" fontId="14" fillId="7" borderId="3" applyAlignment="1" applyProtection="1" pivotButton="0" quotePrefix="0" xfId="0">
      <alignment horizontal="center" vertical="center"/>
      <protection locked="1" hidden="1"/>
    </xf>
    <xf numFmtId="43" fontId="14" fillId="7" borderId="4" applyAlignment="1" applyProtection="1" pivotButton="0" quotePrefix="0" xfId="0">
      <alignment horizontal="center" vertical="center"/>
      <protection locked="1" hidden="1"/>
    </xf>
    <xf numFmtId="0" fontId="7" fillId="2" borderId="0" applyAlignment="1" pivotButton="0" quotePrefix="0" xfId="0">
      <alignment horizontal="left" vertical="center"/>
    </xf>
    <xf numFmtId="14" fontId="7" fillId="2" borderId="0" applyAlignment="1" pivotButton="0" quotePrefix="0" xfId="0">
      <alignment horizontal="left" vertical="center"/>
    </xf>
    <xf numFmtId="1" fontId="11" fillId="2" borderId="0" applyAlignment="1" pivotButton="0" quotePrefix="0" xfId="0">
      <alignment horizontal="left" vertical="center"/>
    </xf>
    <xf numFmtId="14" fontId="11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49" fontId="6" fillId="4" borderId="2" applyAlignment="1" applyProtection="1" pivotButton="0" quotePrefix="0" xfId="0">
      <alignment horizontal="right" vertical="center"/>
      <protection locked="1" hidden="1"/>
    </xf>
    <xf numFmtId="49" fontId="6" fillId="4" borderId="3" applyAlignment="1" applyProtection="1" pivotButton="0" quotePrefix="0" xfId="0">
      <alignment horizontal="right" vertical="center"/>
      <protection locked="1" hidden="1"/>
    </xf>
    <xf numFmtId="49" fontId="6" fillId="4" borderId="4" applyAlignment="1" applyProtection="1" pivotButton="0" quotePrefix="0" xfId="0">
      <alignment horizontal="right" vertical="center"/>
      <protection locked="1" hidden="1"/>
    </xf>
    <xf numFmtId="49" fontId="6" fillId="2" borderId="13" applyAlignment="1" applyProtection="1" pivotButton="0" quotePrefix="0" xfId="0">
      <alignment horizontal="left" vertical="center"/>
      <protection locked="1" hidden="1"/>
    </xf>
    <xf numFmtId="49" fontId="6" fillId="2" borderId="14" applyAlignment="1" applyProtection="1" pivotButton="0" quotePrefix="0" xfId="0">
      <alignment horizontal="left" vertical="center"/>
      <protection locked="1" hidden="1"/>
    </xf>
    <xf numFmtId="0" fontId="6" fillId="2" borderId="9" applyAlignment="1" pivotButton="0" quotePrefix="0" xfId="0">
      <alignment horizontal="left" vertical="center"/>
    </xf>
    <xf numFmtId="0" fontId="6" fillId="2" borderId="10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14" fillId="3" borderId="2" applyAlignment="1" applyProtection="1" pivotButton="0" quotePrefix="0" xfId="0">
      <alignment horizontal="right" vertical="center" wrapText="1"/>
      <protection locked="1" hidden="1"/>
    </xf>
    <xf numFmtId="0" fontId="14" fillId="3" borderId="3" applyAlignment="1" applyProtection="1" pivotButton="0" quotePrefix="0" xfId="0">
      <alignment horizontal="right" vertical="center" wrapText="1"/>
      <protection locked="1" hidden="1"/>
    </xf>
    <xf numFmtId="0" fontId="14" fillId="3" borderId="4" applyAlignment="1" applyProtection="1" pivotButton="0" quotePrefix="0" xfId="0">
      <alignment horizontal="right" vertical="center" wrapText="1"/>
      <protection locked="1" hidden="1"/>
    </xf>
    <xf numFmtId="0" fontId="12" fillId="2" borderId="2" applyAlignment="1" pivotButton="0" quotePrefix="0" xfId="0">
      <alignment horizontal="left" vertical="center"/>
    </xf>
    <xf numFmtId="49" fontId="14" fillId="7" borderId="5" applyAlignment="1" applyProtection="1" pivotButton="0" quotePrefix="0" xfId="0">
      <alignment horizontal="center" vertical="center"/>
      <protection locked="1" hidden="1"/>
    </xf>
    <xf numFmtId="49" fontId="14" fillId="7" borderId="6" applyAlignment="1" applyProtection="1" pivotButton="0" quotePrefix="0" xfId="0">
      <alignment horizontal="center" vertical="center"/>
      <protection locked="1" hidden="1"/>
    </xf>
    <xf numFmtId="0" fontId="14" fillId="7" borderId="5" applyAlignment="1" applyProtection="1" pivotButton="0" quotePrefix="0" xfId="0">
      <alignment horizontal="center" vertical="center"/>
      <protection locked="1" hidden="1"/>
    </xf>
    <xf numFmtId="0" fontId="14" fillId="7" borderId="6" applyAlignment="1" applyProtection="1" pivotButton="0" quotePrefix="0" xfId="0">
      <alignment horizontal="center" vertical="center"/>
      <protection locked="1" hidden="1"/>
    </xf>
    <xf numFmtId="0" fontId="14" fillId="7" borderId="5" applyAlignment="1" applyProtection="1" pivotButton="0" quotePrefix="0" xfId="0">
      <alignment horizontal="center" vertical="center" wrapText="1"/>
      <protection locked="1" hidden="1"/>
    </xf>
    <xf numFmtId="0" fontId="14" fillId="7" borderId="6" applyAlignment="1" applyProtection="1" pivotButton="0" quotePrefix="0" xfId="0">
      <alignment horizontal="center" vertical="center" wrapText="1"/>
      <protection locked="1" hidden="1"/>
    </xf>
    <xf numFmtId="43" fontId="14" fillId="7" borderId="5" applyAlignment="1" applyProtection="1" pivotButton="0" quotePrefix="0" xfId="0">
      <alignment horizontal="center" vertical="center"/>
      <protection locked="1" hidden="1"/>
    </xf>
    <xf numFmtId="43" fontId="14" fillId="7" borderId="6" applyAlignment="1" applyProtection="1" pivotButton="0" quotePrefix="0" xfId="0">
      <alignment horizontal="center" vertical="center"/>
      <protection locked="1" hidden="1"/>
    </xf>
    <xf numFmtId="43" fontId="20" fillId="6" borderId="3" applyAlignment="1" applyProtection="1" pivotButton="0" quotePrefix="0" xfId="0">
      <alignment horizontal="center" vertical="center" wrapText="1"/>
      <protection locked="1" hidden="1"/>
    </xf>
    <xf numFmtId="43" fontId="22" fillId="5" borderId="15" applyAlignment="1" applyProtection="1" pivotButton="0" quotePrefix="0" xfId="0">
      <alignment horizontal="center" vertical="center" wrapText="1"/>
      <protection locked="1" hidden="1"/>
    </xf>
    <xf numFmtId="43" fontId="22" fillId="5" borderId="16" applyAlignment="1" applyProtection="1" pivotButton="0" quotePrefix="0" xfId="0">
      <alignment horizontal="center" vertical="center" wrapText="1"/>
      <protection locked="1" hidden="1"/>
    </xf>
    <xf numFmtId="0" fontId="1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43" fontId="7" fillId="0" borderId="1" applyAlignment="1" pivotButton="0" quotePrefix="0" xfId="0">
      <alignment vertical="center"/>
    </xf>
    <xf numFmtId="43" fontId="14" fillId="7" borderId="5" applyAlignment="1" applyProtection="1" pivotButton="0" quotePrefix="0" xfId="0">
      <alignment horizontal="center" vertical="center"/>
      <protection locked="1" hidden="1"/>
    </xf>
    <xf numFmtId="43" fontId="14" fillId="7" borderId="1" applyAlignment="1" applyProtection="1" pivotButton="0" quotePrefix="0" xfId="0">
      <alignment horizontal="center" vertical="center"/>
      <protection locked="1" hidden="1"/>
    </xf>
    <xf numFmtId="0" fontId="0" fillId="0" borderId="3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43" fontId="14" fillId="7" borderId="3" applyAlignment="1" applyProtection="1" pivotButton="0" quotePrefix="0" xfId="0">
      <alignment horizontal="center" vertical="center"/>
      <protection locked="1" hidden="1"/>
    </xf>
    <xf numFmtId="43" fontId="20" fillId="6" borderId="3" applyAlignment="1" applyProtection="1" pivotButton="0" quotePrefix="0" xfId="0">
      <alignment horizontal="center" vertical="center" wrapText="1"/>
      <protection locked="1" hidden="1"/>
    </xf>
    <xf numFmtId="0" fontId="0" fillId="0" borderId="6" applyProtection="1" pivotButton="0" quotePrefix="0" xfId="0">
      <protection locked="1" hidden="1"/>
    </xf>
    <xf numFmtId="43" fontId="14" fillId="7" borderId="5" applyAlignment="1" applyProtection="1" pivotButton="0" quotePrefix="0" xfId="0">
      <alignment horizontal="center" vertical="center" wrapText="1"/>
      <protection locked="1" hidden="1"/>
    </xf>
    <xf numFmtId="43" fontId="14" fillId="7" borderId="11" applyAlignment="1" applyProtection="1" pivotButton="0" quotePrefix="0" xfId="0">
      <alignment horizontal="center" vertical="center"/>
      <protection locked="1" hidden="1"/>
    </xf>
    <xf numFmtId="43" fontId="22" fillId="5" borderId="16" applyAlignment="1" applyProtection="1" pivotButton="0" quotePrefix="0" xfId="0">
      <alignment horizontal="center" vertical="center" wrapText="1"/>
      <protection locked="1" hidden="1"/>
    </xf>
    <xf numFmtId="0" fontId="0" fillId="0" borderId="16" applyProtection="1" pivotButton="0" quotePrefix="0" xfId="0">
      <protection locked="1" hidden="1"/>
    </xf>
    <xf numFmtId="43" fontId="20" fillId="5" borderId="11" applyAlignment="1" applyProtection="1" pivotButton="0" quotePrefix="0" xfId="0">
      <alignment horizontal="center" vertical="center"/>
      <protection locked="1" hidden="1"/>
    </xf>
    <xf numFmtId="43" fontId="7" fillId="2" borderId="0" applyAlignment="1" pivotButton="0" quotePrefix="0" xfId="0">
      <alignment vertical="center"/>
    </xf>
    <xf numFmtId="43" fontId="6" fillId="4" borderId="1" applyAlignment="1" applyProtection="1" pivotButton="0" quotePrefix="0" xfId="0">
      <alignment horizontal="center" vertical="center"/>
      <protection locked="1" hidden="1"/>
    </xf>
    <xf numFmtId="164" fontId="6" fillId="4" borderId="1" applyAlignment="1" applyProtection="1" pivotButton="0" quotePrefix="0" xfId="18">
      <alignment vertical="center"/>
      <protection locked="1" hidden="1"/>
    </xf>
    <xf numFmtId="164" fontId="6" fillId="4" borderId="1" applyAlignment="1" applyProtection="1" pivotButton="0" quotePrefix="0" xfId="18">
      <alignment horizontal="center" vertical="center"/>
      <protection locked="1" hidden="1"/>
    </xf>
    <xf numFmtId="164" fontId="6" fillId="4" borderId="2" applyAlignment="1" applyProtection="1" pivotButton="0" quotePrefix="0" xfId="18">
      <alignment vertical="center"/>
      <protection locked="1" hidden="1"/>
    </xf>
    <xf numFmtId="43" fontId="7" fillId="2" borderId="1" applyAlignment="1" pivotButton="0" quotePrefix="0" xfId="0">
      <alignment vertical="center"/>
    </xf>
    <xf numFmtId="164" fontId="7" fillId="2" borderId="1" applyAlignment="1" applyProtection="1" pivotButton="0" quotePrefix="0" xfId="18">
      <alignment horizontal="right" vertical="center"/>
      <protection locked="0" hidden="0"/>
    </xf>
    <xf numFmtId="164" fontId="7" fillId="2" borderId="2" applyAlignment="1" applyProtection="1" pivotButton="0" quotePrefix="0" xfId="18">
      <alignment horizontal="right" vertical="center"/>
      <protection locked="0" hidden="0"/>
    </xf>
    <xf numFmtId="164" fontId="7" fillId="2" borderId="0" applyAlignment="1" pivotButton="0" quotePrefix="0" xfId="18">
      <alignment vertical="center"/>
    </xf>
    <xf numFmtId="43" fontId="17" fillId="2" borderId="1" applyAlignment="1" pivotButton="0" quotePrefix="0" xfId="0">
      <alignment vertical="center"/>
    </xf>
    <xf numFmtId="43" fontId="17" fillId="0" borderId="1" applyAlignment="1" pivotButton="0" quotePrefix="0" xfId="0">
      <alignment vertical="center"/>
    </xf>
    <xf numFmtId="43" fontId="7" fillId="0" borderId="1" applyAlignment="1" pivotButton="0" quotePrefix="0" xfId="0">
      <alignment vertical="center"/>
    </xf>
    <xf numFmtId="43" fontId="7" fillId="2" borderId="1" applyAlignment="1" pivotButton="0" quotePrefix="0" xfId="0">
      <alignment horizontal="center" vertical="center"/>
    </xf>
    <xf numFmtId="164" fontId="7" fillId="0" borderId="1" applyAlignment="1" applyProtection="1" pivotButton="0" quotePrefix="0" xfId="18">
      <alignment horizontal="right" vertical="center"/>
      <protection locked="0" hidden="0"/>
    </xf>
    <xf numFmtId="164" fontId="7" fillId="0" borderId="2" applyAlignment="1" applyProtection="1" pivotButton="0" quotePrefix="0" xfId="18">
      <alignment horizontal="right" vertical="center"/>
      <protection locked="0" hidden="0"/>
    </xf>
    <xf numFmtId="43" fontId="7" fillId="2" borderId="1" applyAlignment="1" applyProtection="1" pivotButton="0" quotePrefix="0" xfId="0">
      <alignment horizontal="center" vertical="center"/>
      <protection locked="1" hidden="1"/>
    </xf>
    <xf numFmtId="43" fontId="7" fillId="2" borderId="0" applyAlignment="1" applyProtection="1" pivotButton="0" quotePrefix="0" xfId="0">
      <alignment horizontal="center" vertical="center"/>
      <protection locked="1" hidden="1"/>
    </xf>
    <xf numFmtId="164" fontId="7" fillId="2" borderId="0" applyAlignment="1" applyProtection="1" pivotButton="0" quotePrefix="0" xfId="18">
      <alignment horizontal="right" vertical="center"/>
      <protection locked="0" hidden="0"/>
    </xf>
    <xf numFmtId="164" fontId="7" fillId="2" borderId="3" applyAlignment="1" applyProtection="1" pivotButton="0" quotePrefix="0" xfId="18">
      <alignment horizontal="right" vertical="center"/>
      <protection locked="0" hidden="0"/>
    </xf>
    <xf numFmtId="164" fontId="7" fillId="2" borderId="3" applyAlignment="1" pivotButton="0" quotePrefix="0" xfId="18">
      <alignment vertical="center"/>
    </xf>
    <xf numFmtId="164" fontId="7" fillId="2" borderId="1" applyAlignment="1" applyProtection="1" pivotButton="0" quotePrefix="0" xfId="18">
      <alignment horizontal="center" vertical="center"/>
      <protection locked="1" hidden="1"/>
    </xf>
    <xf numFmtId="164" fontId="7" fillId="2" borderId="1" applyAlignment="1" pivotButton="0" quotePrefix="0" xfId="18">
      <alignment horizontal="right" vertical="center" wrapText="1"/>
    </xf>
    <xf numFmtId="164" fontId="7" fillId="2" borderId="0" applyAlignment="1" pivotButton="0" quotePrefix="0" xfId="18">
      <alignment horizontal="center" vertical="center"/>
    </xf>
    <xf numFmtId="43" fontId="17" fillId="2" borderId="1" applyAlignment="1" applyProtection="1" pivotButton="0" quotePrefix="0" xfId="0">
      <alignment horizontal="center" vertical="center"/>
      <protection locked="1" hidden="1"/>
    </xf>
    <xf numFmtId="43" fontId="19" fillId="2" borderId="1" applyAlignment="1" applyProtection="1" pivotButton="0" quotePrefix="0" xfId="0">
      <alignment horizontal="center" vertical="center"/>
      <protection locked="1" hidden="1"/>
    </xf>
    <xf numFmtId="49" fontId="6" fillId="4" borderId="1" applyAlignment="1" applyProtection="1" pivotButton="0" quotePrefix="0" xfId="0">
      <alignment horizontal="right" vertical="center"/>
      <protection locked="1" hidden="1"/>
    </xf>
    <xf numFmtId="0" fontId="14" fillId="3" borderId="1" applyAlignment="1" applyProtection="1" pivotButton="0" quotePrefix="0" xfId="0">
      <alignment horizontal="right" vertical="center" wrapText="1"/>
      <protection locked="1" hidden="1"/>
    </xf>
    <xf numFmtId="164" fontId="14" fillId="3" borderId="2" applyAlignment="1" applyProtection="1" pivotButton="0" quotePrefix="0" xfId="18">
      <alignment vertical="center" wrapText="1"/>
      <protection locked="1" hidden="1"/>
    </xf>
    <xf numFmtId="0" fontId="0" fillId="0" borderId="14" applyProtection="1" pivotButton="0" quotePrefix="0" xfId="0">
      <protection locked="1" hidden="1"/>
    </xf>
    <xf numFmtId="0" fontId="0" fillId="0" borderId="10" pivotButton="0" quotePrefix="0" xfId="0"/>
    <xf numFmtId="0" fontId="0" fillId="0" borderId="3" pivotButton="0" quotePrefix="0" xfId="0"/>
  </cellXfs>
  <cellStyles count="22">
    <cellStyle name="Normal" xfId="0" builtinId="0"/>
    <cellStyle name="Normal 2" xfId="1"/>
    <cellStyle name="Comma 2" xfId="2"/>
    <cellStyle name="Percent 2" xfId="3"/>
    <cellStyle name="Normal 5" xfId="4"/>
    <cellStyle name="Normal 2 3" xfId="5"/>
    <cellStyle name="Vírgula 2" xfId="6"/>
    <cellStyle name="Moeda 2" xfId="7"/>
    <cellStyle name="Normal 2 2" xfId="8"/>
    <cellStyle name="Normal 3" xfId="9"/>
    <cellStyle name="Normal 4" xfId="10"/>
    <cellStyle name="Porcentagem 2" xfId="11"/>
    <cellStyle name="Vírgula 3" xfId="12"/>
    <cellStyle name="Hiperlink 2" xfId="13"/>
    <cellStyle name="Comma 3" xfId="14"/>
    <cellStyle name="Normal 6" xfId="15"/>
    <cellStyle name="Vírgula 4" xfId="16"/>
    <cellStyle name="Vírgula 5" xfId="17"/>
    <cellStyle name="Moeda" xfId="18" builtinId="4"/>
    <cellStyle name="Hyperlink" xfId="19"/>
    <cellStyle name="Normal 6 2" xfId="20"/>
    <cellStyle name="Normal 7" xfId="2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 fitToPage="1"/>
  </sheetPr>
  <dimension ref="A1:M128"/>
  <sheetViews>
    <sheetView showGridLines="0" tabSelected="1" topLeftCell="A95" zoomScale="55" zoomScaleNormal="55" zoomScaleSheetLayoutView="100" workbookViewId="0">
      <selection activeCell="C105" sqref="C105"/>
    </sheetView>
  </sheetViews>
  <sheetFormatPr baseColWidth="8" defaultColWidth="9.140625" defaultRowHeight="15.75"/>
  <cols>
    <col width="22" bestFit="1" customWidth="1" style="5" min="1" max="1"/>
    <col width="44.5703125" customWidth="1" style="11" min="2" max="2"/>
    <col width="43.140625" customWidth="1" style="11" min="3" max="3"/>
    <col width="7.28515625" bestFit="1" customWidth="1" style="11" min="4" max="4"/>
    <col width="11.140625" bestFit="1" customWidth="1" style="11" min="5" max="5"/>
    <col width="16.28515625" bestFit="1" customWidth="1" style="11" min="6" max="7"/>
    <col width="19.42578125" bestFit="1" customWidth="1" style="11" min="8" max="8"/>
    <col width="21.140625" bestFit="1" customWidth="1" style="11" min="9" max="9"/>
    <col width="7.140625" customWidth="1" style="11" min="10" max="10"/>
    <col width="18.85546875" customWidth="1" style="11" min="11" max="11"/>
    <col width="38.28515625" bestFit="1" customWidth="1" style="11" min="12" max="12"/>
    <col width="24.7109375" customWidth="1" style="11" min="13" max="13"/>
    <col width="9.140625" customWidth="1" style="11" min="14" max="16384"/>
  </cols>
  <sheetData>
    <row r="1">
      <c r="A1" s="11" t="n"/>
    </row>
    <row r="2">
      <c r="A2" s="11" t="n"/>
      <c r="J2" s="77" t="n"/>
      <c r="K2" s="78" t="n"/>
      <c r="L2" s="78" t="n"/>
      <c r="M2" s="78" t="n"/>
    </row>
    <row r="3">
      <c r="A3" s="11" t="n"/>
      <c r="D3" s="94" t="inlineStr">
        <is>
          <t xml:space="preserve">DATA DO PROJETO: </t>
        </is>
      </c>
      <c r="G3" s="95" t="n">
        <v>46219</v>
      </c>
      <c r="J3" s="78" t="n"/>
      <c r="K3" s="78" t="n"/>
      <c r="L3" s="78" t="n"/>
      <c r="M3" s="78" t="n"/>
    </row>
    <row r="4">
      <c r="A4" s="11" t="n"/>
      <c r="D4" s="94" t="inlineStr">
        <is>
          <t xml:space="preserve">Nº DA PROPOSTA: </t>
        </is>
      </c>
      <c r="G4" s="96" t="n"/>
      <c r="J4" s="78" t="n"/>
      <c r="K4" s="78" t="n"/>
      <c r="L4" s="78" t="n"/>
      <c r="M4" s="78" t="n"/>
    </row>
    <row r="5">
      <c r="A5" s="90" t="inlineStr">
        <is>
          <t>CLIENTE:</t>
        </is>
      </c>
      <c r="B5" s="94" t="inlineStr">
        <is>
          <t>Centro Universitário São Camilo</t>
        </is>
      </c>
      <c r="C5" s="1" t="n"/>
      <c r="D5" s="90" t="inlineStr">
        <is>
          <t xml:space="preserve">REVISÃO:  </t>
        </is>
      </c>
      <c r="G5" s="97" t="n"/>
      <c r="J5" s="78" t="n"/>
      <c r="K5" s="78" t="n"/>
      <c r="L5" s="78" t="n"/>
      <c r="M5" s="78" t="n"/>
    </row>
    <row r="6">
      <c r="A6" s="90" t="inlineStr">
        <is>
          <t>ADEQUAÇÃO:</t>
        </is>
      </c>
      <c r="B6" s="19" t="inlineStr">
        <is>
          <t>Reforma da fachada</t>
        </is>
      </c>
      <c r="C6" s="1" t="n"/>
      <c r="D6" s="94" t="inlineStr">
        <is>
          <t xml:space="preserve">DATA DA REVISÃO: </t>
        </is>
      </c>
      <c r="G6" s="97" t="n"/>
      <c r="J6" s="78" t="n"/>
      <c r="K6" s="78" t="n"/>
      <c r="L6" s="78" t="n"/>
      <c r="M6" s="78" t="n"/>
    </row>
    <row r="7">
      <c r="A7" s="90" t="inlineStr">
        <is>
          <t>CAMPUS:</t>
        </is>
      </c>
      <c r="B7" s="19" t="inlineStr">
        <is>
          <t>Promove</t>
        </is>
      </c>
      <c r="C7" s="1" t="n"/>
      <c r="D7" s="90" t="inlineStr">
        <is>
          <t>ÁREA TOTAL:</t>
        </is>
      </c>
      <c r="G7" s="98" t="n"/>
      <c r="J7" s="78" t="n"/>
      <c r="K7" s="78" t="n"/>
      <c r="L7" s="78" t="n"/>
      <c r="M7" s="78" t="n"/>
    </row>
    <row r="8">
      <c r="A8" s="90" t="inlineStr">
        <is>
          <t>ENDEREÇO:</t>
        </is>
      </c>
      <c r="B8" s="19" t="inlineStr">
        <is>
          <t>R: Engenheiro Ranulfo Pinheiro de Lima - 200</t>
        </is>
      </c>
      <c r="C8" s="19" t="n"/>
      <c r="D8" s="90" t="inlineStr">
        <is>
          <t xml:space="preserve">EMPRESA </t>
        </is>
      </c>
      <c r="G8" s="97" t="n"/>
      <c r="J8" s="78" t="n"/>
      <c r="K8" s="78" t="n"/>
      <c r="L8" s="78" t="n"/>
      <c r="M8" s="78" t="n"/>
    </row>
    <row r="9">
      <c r="A9" s="20" t="inlineStr">
        <is>
          <t xml:space="preserve">RESPONSÁVEIS </t>
        </is>
      </c>
      <c r="B9" s="95" t="inlineStr">
        <is>
          <t>Thais Suntachi</t>
        </is>
      </c>
      <c r="C9" s="1" t="n"/>
      <c r="D9" s="90" t="inlineStr">
        <is>
          <t>CONTRATADA:</t>
        </is>
      </c>
      <c r="J9" s="78" t="n"/>
      <c r="K9" s="78" t="n"/>
      <c r="L9" s="78" t="n"/>
      <c r="M9" s="78" t="n"/>
    </row>
    <row r="10">
      <c r="A10" s="90" t="inlineStr">
        <is>
          <t>TÉCNICOS:</t>
        </is>
      </c>
      <c r="B10" s="95" t="inlineStr">
        <is>
          <t>Thaís Dias</t>
        </is>
      </c>
      <c r="C10" s="22" t="n"/>
      <c r="D10" s="94" t="inlineStr">
        <is>
          <t xml:space="preserve">PRAZO DE EXECUÇÃO: </t>
        </is>
      </c>
      <c r="G10" s="89" t="n"/>
      <c r="J10" s="78" t="n"/>
      <c r="K10" s="78" t="n"/>
      <c r="L10" s="78" t="n"/>
      <c r="M10" s="78" t="n"/>
    </row>
    <row r="11">
      <c r="A11" s="90" t="n"/>
      <c r="B11" s="95" t="n"/>
      <c r="C11" s="1" t="n"/>
      <c r="D11" s="90" t="inlineStr">
        <is>
          <t xml:space="preserve">GARANTIA: </t>
        </is>
      </c>
      <c r="G11" s="89" t="inlineStr">
        <is>
          <t>Conforme legislação vigente</t>
        </is>
      </c>
      <c r="J11" s="88" t="n"/>
    </row>
    <row r="12" ht="5.25" customHeight="1">
      <c r="A12" s="90" t="n"/>
      <c r="B12" s="95" t="n"/>
      <c r="C12" s="1" t="n"/>
      <c r="D12" s="90" t="n"/>
      <c r="E12" s="90" t="n"/>
      <c r="F12" s="90" t="n"/>
      <c r="G12" s="5" t="n"/>
      <c r="H12" s="1" t="n"/>
      <c r="I12" s="1" t="n"/>
      <c r="J12" s="1" t="n"/>
      <c r="K12" s="90" t="n"/>
      <c r="L12" s="90" t="n"/>
    </row>
    <row r="13" ht="25.5" customHeight="1">
      <c r="A13" s="114" t="inlineStr">
        <is>
          <t>ITEM</t>
        </is>
      </c>
      <c r="B13" s="116" t="inlineStr">
        <is>
          <t>DESCRIÇÃO DO ITEM</t>
        </is>
      </c>
      <c r="C13" s="118" t="inlineStr">
        <is>
          <t>OBSERVAÇÕES</t>
        </is>
      </c>
      <c r="D13" s="116" t="inlineStr">
        <is>
          <t>UN</t>
        </is>
      </c>
      <c r="E13" s="128" t="inlineStr">
        <is>
          <t>QUANT.</t>
        </is>
      </c>
      <c r="F13" s="129" t="inlineStr">
        <is>
          <t>VALORES UNITÁRIOS(R$)</t>
        </is>
      </c>
      <c r="G13" s="130" t="n"/>
      <c r="H13" s="131" t="n"/>
      <c r="I13" s="132" t="inlineStr">
        <is>
          <t>VALOR TOTAL</t>
        </is>
      </c>
      <c r="J13" s="133" t="inlineStr">
        <is>
          <t>QUANT. CONSTRUTORA</t>
        </is>
      </c>
      <c r="K13" s="130" t="n"/>
      <c r="L13" s="133" t="inlineStr">
        <is>
          <t>INFORMAR SOBRE ALTERAÇÃO</t>
        </is>
      </c>
      <c r="M13" s="133" t="inlineStr">
        <is>
          <t>COMENTÁRIOS SE NECESSÁRIO</t>
        </is>
      </c>
    </row>
    <row r="14" ht="31.5" customHeight="1">
      <c r="A14" s="134" t="n"/>
      <c r="B14" s="134" t="n"/>
      <c r="C14" s="134" t="n"/>
      <c r="D14" s="134" t="n"/>
      <c r="E14" s="134" t="n"/>
      <c r="F14" s="128" t="inlineStr">
        <is>
          <t>MATERIAL</t>
        </is>
      </c>
      <c r="G14" s="135" t="inlineStr">
        <is>
          <t>MÃO DE OBRA</t>
        </is>
      </c>
      <c r="H14" s="128" t="inlineStr">
        <is>
          <t>TOTAL</t>
        </is>
      </c>
      <c r="I14" s="136" t="inlineStr">
        <is>
          <t>TOTAL</t>
        </is>
      </c>
      <c r="J14" s="137" t="inlineStr">
        <is>
          <t>SE A METRAGEM FOR A MESMA DA COLUNA E - REPLICAR VALORES</t>
        </is>
      </c>
      <c r="K14" s="138" t="n"/>
      <c r="L14" s="139" t="inlineStr">
        <is>
          <t>CONSTRUTORA</t>
        </is>
      </c>
      <c r="M14" s="139" t="inlineStr">
        <is>
          <t>SÃO CAMILO</t>
        </is>
      </c>
    </row>
    <row r="15" ht="17.25" customHeight="1">
      <c r="A15" s="2" t="n"/>
      <c r="B15" s="5" t="n"/>
      <c r="C15" s="1" t="n"/>
      <c r="D15" s="2" t="n"/>
      <c r="E15" s="140" t="n"/>
      <c r="F15" s="140" t="n"/>
      <c r="G15" s="140" t="n"/>
      <c r="H15" s="140" t="n"/>
      <c r="I15" s="140" t="n"/>
      <c r="J15" s="140" t="n"/>
      <c r="K15" s="140" t="n"/>
      <c r="L15" s="140" t="n"/>
    </row>
    <row r="16">
      <c r="A16" s="43" t="inlineStr">
        <is>
          <t>1.0</t>
        </is>
      </c>
      <c r="B16" s="44" t="inlineStr">
        <is>
          <t>SERVIÇOS INICIAIS</t>
        </is>
      </c>
      <c r="C16" s="45" t="n"/>
      <c r="D16" s="141" t="inlineStr">
        <is>
          <t>UN</t>
        </is>
      </c>
      <c r="E16" s="141" t="inlineStr">
        <is>
          <t>QUANT</t>
        </is>
      </c>
      <c r="F16" s="142" t="n"/>
      <c r="G16" s="143" t="n"/>
      <c r="H16" s="142">
        <f>SUM(H17:H24)</f>
        <v/>
      </c>
      <c r="I16" s="144">
        <f>SUM(I17:I24)</f>
        <v/>
      </c>
      <c r="J16" s="141" t="inlineStr">
        <is>
          <t>UN</t>
        </is>
      </c>
      <c r="K16" s="141" t="inlineStr">
        <is>
          <t>QUANT</t>
        </is>
      </c>
      <c r="L16" s="141" t="n"/>
      <c r="M16" s="141" t="n"/>
    </row>
    <row r="17">
      <c r="A17" s="8" t="inlineStr">
        <is>
          <t>1.01</t>
        </is>
      </c>
      <c r="B17" s="7" t="inlineStr">
        <is>
          <t>Recolhimento de ART Civil</t>
        </is>
      </c>
      <c r="C17" s="36" t="inlineStr">
        <is>
          <t>GERAL</t>
        </is>
      </c>
      <c r="D17" s="8" t="inlineStr">
        <is>
          <t>vb</t>
        </is>
      </c>
      <c r="E17" s="145" t="n">
        <v>1</v>
      </c>
      <c r="F17" s="146" t="n">
        <v>0</v>
      </c>
      <c r="G17" s="146" t="n">
        <v>732.99</v>
      </c>
      <c r="H17" s="146">
        <f>F17+G17</f>
        <v/>
      </c>
      <c r="I17" s="147">
        <f>H17*E17</f>
        <v/>
      </c>
      <c r="J17" s="147" t="inlineStr">
        <is>
          <t>vb</t>
        </is>
      </c>
      <c r="K17" s="145" t="n">
        <v>1</v>
      </c>
      <c r="L17" s="145" t="n"/>
      <c r="M17" s="145" t="n"/>
    </row>
    <row r="18">
      <c r="A18" s="8" t="inlineStr">
        <is>
          <t>1.02</t>
        </is>
      </c>
      <c r="B18" s="7" t="inlineStr">
        <is>
          <t>Recolhimento de ART Eletrica</t>
        </is>
      </c>
      <c r="C18" s="36" t="inlineStr">
        <is>
          <t>GERAL</t>
        </is>
      </c>
      <c r="D18" s="8" t="inlineStr">
        <is>
          <t>vb</t>
        </is>
      </c>
      <c r="E18" s="145" t="n">
        <v>1</v>
      </c>
      <c r="F18" s="146" t="n">
        <v>0</v>
      </c>
      <c r="G18" s="146" t="n">
        <v>732.99</v>
      </c>
      <c r="H18" s="146">
        <f>F18+G18</f>
        <v/>
      </c>
      <c r="I18" s="147">
        <f>H18*E18</f>
        <v/>
      </c>
      <c r="J18" s="147" t="inlineStr">
        <is>
          <t>vb</t>
        </is>
      </c>
      <c r="K18" s="145" t="n">
        <v>1</v>
      </c>
      <c r="L18" s="145" t="n"/>
      <c r="M18" s="145" t="n"/>
    </row>
    <row r="19">
      <c r="A19" s="8" t="inlineStr">
        <is>
          <t>1.03</t>
        </is>
      </c>
      <c r="B19" s="7" t="inlineStr">
        <is>
          <t>Recolhimento de ART hidráulica</t>
        </is>
      </c>
      <c r="C19" s="36" t="inlineStr">
        <is>
          <t>GERAL</t>
        </is>
      </c>
      <c r="D19" s="8" t="inlineStr">
        <is>
          <t>vb</t>
        </is>
      </c>
      <c r="E19" s="145" t="n">
        <v>1</v>
      </c>
      <c r="F19" s="146" t="n">
        <v>0</v>
      </c>
      <c r="G19" s="146" t="n">
        <v>732.99</v>
      </c>
      <c r="H19" s="146">
        <f>F19+G19</f>
        <v/>
      </c>
      <c r="I19" s="147">
        <f>H19*E19</f>
        <v/>
      </c>
      <c r="J19" s="147" t="inlineStr">
        <is>
          <t>vb</t>
        </is>
      </c>
      <c r="K19" s="145" t="n">
        <v>1</v>
      </c>
      <c r="L19" s="145" t="n"/>
      <c r="M19" s="145" t="n"/>
    </row>
    <row r="20">
      <c r="A20" s="8" t="inlineStr">
        <is>
          <t>1.04</t>
        </is>
      </c>
      <c r="B20" s="7" t="inlineStr">
        <is>
          <t>Recolhimento de ART Climatização</t>
        </is>
      </c>
      <c r="C20" s="36" t="inlineStr">
        <is>
          <t>GERAL</t>
        </is>
      </c>
      <c r="D20" s="8" t="inlineStr">
        <is>
          <t>vb</t>
        </is>
      </c>
      <c r="E20" s="145" t="n">
        <v>1</v>
      </c>
      <c r="F20" s="146" t="n">
        <v>0</v>
      </c>
      <c r="G20" s="146" t="n">
        <v>732.99</v>
      </c>
      <c r="H20" s="146">
        <f>F20+G20</f>
        <v/>
      </c>
      <c r="I20" s="147">
        <f>H20*E20</f>
        <v/>
      </c>
      <c r="J20" s="147" t="inlineStr">
        <is>
          <t>vb</t>
        </is>
      </c>
      <c r="K20" s="145" t="n">
        <v>1</v>
      </c>
      <c r="L20" s="145" t="n"/>
      <c r="M20" s="145" t="n"/>
    </row>
    <row r="21" ht="18.75" customHeight="1">
      <c r="A21" s="8" t="inlineStr">
        <is>
          <t>1.05</t>
        </is>
      </c>
      <c r="B21" s="7" t="inlineStr">
        <is>
          <t>Seguro da obra</t>
        </is>
      </c>
      <c r="C21" s="36" t="inlineStr">
        <is>
          <t>GERAL</t>
        </is>
      </c>
      <c r="D21" s="8" t="inlineStr">
        <is>
          <t>vb</t>
        </is>
      </c>
      <c r="E21" s="145" t="n">
        <v>1</v>
      </c>
      <c r="F21" s="146" t="n">
        <v>0</v>
      </c>
      <c r="G21" s="146" t="n">
        <v>15706.89</v>
      </c>
      <c r="H21" s="146">
        <f>F21+G21</f>
        <v/>
      </c>
      <c r="I21" s="147">
        <f>H21*E21</f>
        <v/>
      </c>
      <c r="J21" s="147" t="inlineStr">
        <is>
          <t>vb</t>
        </is>
      </c>
      <c r="K21" s="145" t="n">
        <v>1</v>
      </c>
      <c r="L21" s="145" t="n"/>
      <c r="M21" s="145" t="n"/>
    </row>
    <row r="22" ht="18.75" customHeight="1">
      <c r="A22" s="8" t="inlineStr">
        <is>
          <t>1.06</t>
        </is>
      </c>
      <c r="B22" s="7" t="inlineStr">
        <is>
          <t>Fornecimento de ASO dos colaboradores</t>
        </is>
      </c>
      <c r="C22" s="36" t="inlineStr">
        <is>
          <t>GERAL</t>
        </is>
      </c>
      <c r="D22" s="8" t="inlineStr">
        <is>
          <t>vb</t>
        </is>
      </c>
      <c r="E22" s="145" t="n">
        <v>1</v>
      </c>
      <c r="F22" s="146" t="n">
        <v>0</v>
      </c>
      <c r="G22" s="146" t="n">
        <v>2356.03</v>
      </c>
      <c r="H22" s="146">
        <f>F22+G22</f>
        <v/>
      </c>
      <c r="I22" s="147">
        <f>H22*E22</f>
        <v/>
      </c>
      <c r="J22" s="147" t="inlineStr">
        <is>
          <t>vb</t>
        </is>
      </c>
      <c r="K22" s="145" t="n">
        <v>1</v>
      </c>
      <c r="L22" s="145" t="n"/>
      <c r="M22" s="145" t="n"/>
    </row>
    <row r="23">
      <c r="A23" s="8" t="inlineStr">
        <is>
          <t>1.07</t>
        </is>
      </c>
      <c r="B23" s="7" t="inlineStr">
        <is>
          <t>Aluguel de ferramentas / equipamentos</t>
        </is>
      </c>
      <c r="C23" s="36" t="inlineStr">
        <is>
          <t>GERAL</t>
        </is>
      </c>
      <c r="D23" s="8" t="inlineStr">
        <is>
          <t>vb</t>
        </is>
      </c>
      <c r="E23" s="145" t="n">
        <v>1</v>
      </c>
      <c r="F23" s="146" t="n">
        <v>101047.68</v>
      </c>
      <c r="G23" s="146" t="n">
        <v>0</v>
      </c>
      <c r="H23" s="146">
        <f>F23+G23</f>
        <v/>
      </c>
      <c r="I23" s="147">
        <f>H23*E23</f>
        <v/>
      </c>
      <c r="J23" s="147" t="inlineStr">
        <is>
          <t>vb</t>
        </is>
      </c>
      <c r="K23" s="145" t="n">
        <v>1</v>
      </c>
      <c r="L23" s="145" t="n"/>
      <c r="M23" s="145" t="n"/>
    </row>
    <row r="24" ht="31.5" customHeight="1">
      <c r="A24" s="8" t="inlineStr">
        <is>
          <t>1.08</t>
        </is>
      </c>
      <c r="B24" s="7" t="inlineStr">
        <is>
          <t>Equipe técnico-administrativa  - Do inicio ao fim das atividades diárias</t>
        </is>
      </c>
      <c r="C24" s="36" t="inlineStr">
        <is>
          <t>GERAL</t>
        </is>
      </c>
      <c r="D24" s="8" t="inlineStr">
        <is>
          <t>vb</t>
        </is>
      </c>
      <c r="E24" s="145" t="n">
        <v>1</v>
      </c>
      <c r="F24" s="146" t="n">
        <v>0</v>
      </c>
      <c r="G24" s="146" t="n">
        <v>143966.69</v>
      </c>
      <c r="H24" s="146">
        <f>F24+G24</f>
        <v/>
      </c>
      <c r="I24" s="147">
        <f>H24*E24</f>
        <v/>
      </c>
      <c r="J24" s="147" t="inlineStr">
        <is>
          <t>vb</t>
        </is>
      </c>
      <c r="K24" s="145" t="n">
        <v>1</v>
      </c>
      <c r="L24" s="145" t="n"/>
      <c r="M24" s="145" t="n"/>
    </row>
    <row r="25" ht="9" customFormat="1" customHeight="1" s="5">
      <c r="C25" s="37" t="n"/>
      <c r="F25" s="148" t="n"/>
      <c r="G25" s="148" t="n"/>
      <c r="H25" s="148" t="n"/>
      <c r="I25" s="148" t="n"/>
      <c r="J25" s="148" t="n"/>
      <c r="M25" s="145" t="n"/>
    </row>
    <row r="26">
      <c r="A26" s="43" t="inlineStr">
        <is>
          <t>2.0</t>
        </is>
      </c>
      <c r="B26" s="44" t="inlineStr">
        <is>
          <t>SERVIÇOS GERAIS</t>
        </is>
      </c>
      <c r="C26" s="45" t="n"/>
      <c r="D26" s="141" t="inlineStr">
        <is>
          <t>UN</t>
        </is>
      </c>
      <c r="E26" s="141" t="inlineStr">
        <is>
          <t>QUANT</t>
        </is>
      </c>
      <c r="F26" s="142" t="n"/>
      <c r="G26" s="143" t="n"/>
      <c r="H26" s="142" t="n">
        <v>0</v>
      </c>
      <c r="I26" s="144" t="n">
        <v>0</v>
      </c>
      <c r="J26" s="141" t="inlineStr">
        <is>
          <t>UN</t>
        </is>
      </c>
      <c r="K26" s="141" t="inlineStr">
        <is>
          <t>QUANT</t>
        </is>
      </c>
      <c r="L26" s="141" t="n"/>
      <c r="M26" s="141" t="n"/>
    </row>
    <row r="27" ht="9" customFormat="1" customHeight="1" s="5">
      <c r="A27" s="8" t="n"/>
      <c r="B27" s="7" t="n"/>
      <c r="C27" s="36" t="n"/>
      <c r="D27" s="8" t="n"/>
      <c r="E27" s="145" t="n"/>
      <c r="F27" s="146" t="n"/>
      <c r="G27" s="146" t="n"/>
      <c r="H27" s="146" t="n"/>
      <c r="I27" s="147" t="n"/>
      <c r="J27" s="147" t="n"/>
      <c r="K27" s="145" t="n"/>
      <c r="L27" s="145" t="n"/>
      <c r="M27" s="145" t="n"/>
    </row>
    <row r="28">
      <c r="A28" s="43" t="inlineStr">
        <is>
          <t>3.0</t>
        </is>
      </c>
      <c r="B28" s="44" t="inlineStr">
        <is>
          <t>DEMOLIÇÕES</t>
        </is>
      </c>
      <c r="C28" s="45" t="n"/>
      <c r="D28" s="141" t="inlineStr">
        <is>
          <t>UN</t>
        </is>
      </c>
      <c r="E28" s="141" t="inlineStr">
        <is>
          <t>QUANT</t>
        </is>
      </c>
      <c r="F28" s="142" t="n"/>
      <c r="G28" s="143" t="n"/>
      <c r="H28" s="142">
        <f>SUM(H29:H34)</f>
        <v/>
      </c>
      <c r="I28" s="144">
        <f>SUM(I29:I34)</f>
        <v/>
      </c>
      <c r="J28" s="141" t="inlineStr">
        <is>
          <t>UN</t>
        </is>
      </c>
      <c r="K28" s="141" t="inlineStr">
        <is>
          <t>QUANT</t>
        </is>
      </c>
      <c r="L28" s="141" t="n"/>
      <c r="M28" s="141" t="n"/>
    </row>
    <row r="29">
      <c r="A29" s="51" t="inlineStr">
        <is>
          <t>3.01</t>
        </is>
      </c>
      <c r="B29" s="66" t="inlineStr">
        <is>
          <t>Demolição de revestimentos</t>
        </is>
      </c>
      <c r="C29" s="52" t="n"/>
      <c r="D29" s="51" t="inlineStr">
        <is>
          <t>m²</t>
        </is>
      </c>
      <c r="E29" s="149" t="n">
        <v>1884.25</v>
      </c>
      <c r="F29" s="146" t="n">
        <v>5.99</v>
      </c>
      <c r="G29" s="146" t="n">
        <v>235.49</v>
      </c>
      <c r="H29" s="146">
        <f>F29+G29</f>
        <v/>
      </c>
      <c r="I29" s="147">
        <f>H29*E29</f>
        <v/>
      </c>
      <c r="J29" s="147" t="inlineStr">
        <is>
          <t>m²</t>
        </is>
      </c>
      <c r="K29" s="150" t="n">
        <v>3390</v>
      </c>
      <c r="L29" s="150" t="inlineStr">
        <is>
          <t>Quantidade real levantada pela construtora: 3.390 m² (apicoamento)</t>
        </is>
      </c>
      <c r="M29" s="145" t="n"/>
    </row>
    <row r="30">
      <c r="A30" s="51" t="inlineStr">
        <is>
          <t>3.02</t>
        </is>
      </c>
      <c r="B30" s="7" t="inlineStr">
        <is>
          <t>Retirada de refletores existentes</t>
        </is>
      </c>
      <c r="C30" s="36" t="inlineStr">
        <is>
          <t>Luminárias serão reinstaladas</t>
        </is>
      </c>
      <c r="D30" s="8" t="inlineStr">
        <is>
          <t>vb</t>
        </is>
      </c>
      <c r="E30" s="145" t="n">
        <v>1</v>
      </c>
      <c r="F30" s="146" t="n">
        <v>40837.92</v>
      </c>
      <c r="G30" s="146" t="n">
        <v>20418.96</v>
      </c>
      <c r="H30" s="146">
        <f>F30+G30</f>
        <v/>
      </c>
      <c r="I30" s="147">
        <f>H30*E30</f>
        <v/>
      </c>
      <c r="J30" s="147" t="inlineStr">
        <is>
          <t>vb</t>
        </is>
      </c>
      <c r="K30" s="151" t="n">
        <v>52</v>
      </c>
      <c r="L30" s="151" t="inlineStr">
        <is>
          <t>52 luminárias</t>
        </is>
      </c>
      <c r="M30" s="145" t="n"/>
    </row>
    <row r="31">
      <c r="A31" s="51" t="inlineStr">
        <is>
          <t>3.03</t>
        </is>
      </c>
      <c r="B31" s="7" t="inlineStr">
        <is>
          <t>Demolição de marquise metálica</t>
        </is>
      </c>
      <c r="C31" s="36" t="n"/>
      <c r="D31" s="8" t="inlineStr">
        <is>
          <t>unid.</t>
        </is>
      </c>
      <c r="E31" s="145" t="n">
        <v>1</v>
      </c>
      <c r="F31" s="146" t="n">
        <v>2591.64</v>
      </c>
      <c r="G31" s="146" t="n">
        <v>6544.54</v>
      </c>
      <c r="H31" s="146">
        <f>F31+G31</f>
        <v/>
      </c>
      <c r="I31" s="147">
        <f>H31*E31</f>
        <v/>
      </c>
      <c r="J31" s="147" t="inlineStr">
        <is>
          <t>unid.</t>
        </is>
      </c>
      <c r="K31" s="151" t="n">
        <v>1</v>
      </c>
      <c r="L31" s="151" t="n"/>
      <c r="M31" s="145" t="n"/>
    </row>
    <row r="32" ht="31.5" customHeight="1">
      <c r="A32" s="51" t="inlineStr">
        <is>
          <t>3.04</t>
        </is>
      </c>
      <c r="B32" s="7" t="inlineStr">
        <is>
          <t xml:space="preserve">Desativação de instalações elétricas existentes </t>
        </is>
      </c>
      <c r="C32" s="54" t="n"/>
      <c r="D32" s="26" t="inlineStr">
        <is>
          <t>vb</t>
        </is>
      </c>
      <c r="E32" s="145" t="n">
        <v>1</v>
      </c>
      <c r="F32" s="146" t="n">
        <v>1178.02</v>
      </c>
      <c r="G32" s="146" t="n">
        <v>26178.16</v>
      </c>
      <c r="H32" s="146">
        <f>F32+G32</f>
        <v/>
      </c>
      <c r="I32" s="147">
        <f>H32*E32</f>
        <v/>
      </c>
      <c r="J32" s="147" t="inlineStr">
        <is>
          <t>vb</t>
        </is>
      </c>
      <c r="K32" s="151" t="n">
        <v>1</v>
      </c>
      <c r="L32" s="151" t="n"/>
      <c r="M32" s="145" t="n"/>
    </row>
    <row r="33" ht="31.5" customHeight="1">
      <c r="A33" s="51" t="inlineStr">
        <is>
          <t>3.05</t>
        </is>
      </c>
      <c r="B33" s="7" t="inlineStr">
        <is>
          <t>Execução de rasgos em piso e parede para passagem de tubulações</t>
        </is>
      </c>
      <c r="C33" s="36" t="n"/>
      <c r="D33" s="8" t="inlineStr">
        <is>
          <t>vb</t>
        </is>
      </c>
      <c r="E33" s="145" t="n">
        <v>1</v>
      </c>
      <c r="F33" s="146" t="n">
        <v>1963.36</v>
      </c>
      <c r="G33" s="146" t="n">
        <v>31413.79</v>
      </c>
      <c r="H33" s="146">
        <f>F33+G33</f>
        <v/>
      </c>
      <c r="I33" s="147">
        <f>H33*E33</f>
        <v/>
      </c>
      <c r="J33" s="147" t="inlineStr">
        <is>
          <t>vb</t>
        </is>
      </c>
      <c r="K33" s="151" t="n">
        <v>300</v>
      </c>
      <c r="L33" s="151" t="inlineStr">
        <is>
          <t>300 m de rasgos</t>
        </is>
      </c>
      <c r="M33" s="145" t="n"/>
    </row>
    <row r="34">
      <c r="A34" s="51" t="inlineStr">
        <is>
          <t>3.06</t>
        </is>
      </c>
      <c r="B34" s="7" t="inlineStr">
        <is>
          <t xml:space="preserve">Caçamba </t>
        </is>
      </c>
      <c r="C34" s="36" t="n"/>
      <c r="D34" s="8" t="inlineStr">
        <is>
          <t>vb.</t>
        </is>
      </c>
      <c r="E34" s="145" t="n">
        <v>1</v>
      </c>
      <c r="F34" s="146" t="n">
        <v>16335.17</v>
      </c>
      <c r="G34" s="146" t="n">
        <v>0</v>
      </c>
      <c r="H34" s="146">
        <f>F34+G34</f>
        <v/>
      </c>
      <c r="I34" s="147">
        <f>H34*E34</f>
        <v/>
      </c>
      <c r="J34" s="147" t="inlineStr">
        <is>
          <t>vb.</t>
        </is>
      </c>
      <c r="K34" s="151" t="n">
        <v>13</v>
      </c>
      <c r="L34" s="151" t="inlineStr">
        <is>
          <t>13 caçambas</t>
        </is>
      </c>
      <c r="M34" s="145" t="n"/>
    </row>
    <row r="35" ht="9" customFormat="1" customHeight="1" s="5">
      <c r="C35" s="37" t="n"/>
      <c r="F35" s="148" t="n"/>
      <c r="G35" s="148" t="n"/>
      <c r="H35" s="148" t="n"/>
      <c r="I35" s="148" t="n"/>
      <c r="J35" s="148" t="n"/>
      <c r="M35" s="145" t="n"/>
    </row>
    <row r="36">
      <c r="A36" s="43" t="inlineStr">
        <is>
          <t>4.0</t>
        </is>
      </c>
      <c r="B36" s="44" t="inlineStr">
        <is>
          <t>INSTALAÇÕES ELÉTRICAS</t>
        </is>
      </c>
      <c r="C36" s="45" t="n"/>
      <c r="D36" s="141" t="inlineStr">
        <is>
          <t>UN</t>
        </is>
      </c>
      <c r="E36" s="141" t="inlineStr">
        <is>
          <t>QUANT</t>
        </is>
      </c>
      <c r="F36" s="142" t="n"/>
      <c r="G36" s="143" t="n"/>
      <c r="H36" s="142" t="n">
        <v>0</v>
      </c>
      <c r="I36" s="144" t="n">
        <v>0</v>
      </c>
      <c r="J36" s="141" t="inlineStr">
        <is>
          <t>UN</t>
        </is>
      </c>
      <c r="K36" s="141" t="inlineStr">
        <is>
          <t>QUANT</t>
        </is>
      </c>
      <c r="L36" s="141" t="n"/>
      <c r="M36" s="141" t="n"/>
    </row>
    <row r="37" ht="9" customFormat="1" customHeight="1" s="5">
      <c r="C37" s="37" t="n"/>
      <c r="F37" s="146" t="n"/>
      <c r="G37" s="146" t="n"/>
      <c r="H37" s="148" t="n"/>
      <c r="I37" s="148" t="n"/>
      <c r="J37" s="148" t="n"/>
      <c r="M37" s="145" t="n"/>
    </row>
    <row r="38">
      <c r="A38" s="43" t="inlineStr">
        <is>
          <t>5.0</t>
        </is>
      </c>
      <c r="B38" s="44" t="inlineStr">
        <is>
          <t>INSTALAÇÕES HIDRÁULICAS</t>
        </is>
      </c>
      <c r="C38" s="45" t="n"/>
      <c r="D38" s="141" t="inlineStr">
        <is>
          <t>UN</t>
        </is>
      </c>
      <c r="E38" s="141" t="inlineStr">
        <is>
          <t>QUANT</t>
        </is>
      </c>
      <c r="F38" s="142" t="n"/>
      <c r="G38" s="143" t="n"/>
      <c r="H38" s="142" t="n">
        <v>0</v>
      </c>
      <c r="I38" s="144" t="n">
        <v>0</v>
      </c>
      <c r="J38" s="141" t="inlineStr">
        <is>
          <t>UN</t>
        </is>
      </c>
      <c r="K38" s="141" t="inlineStr">
        <is>
          <t>QUANT</t>
        </is>
      </c>
      <c r="L38" s="141" t="n"/>
      <c r="M38" s="141" t="n"/>
    </row>
    <row r="39" ht="8.25" customFormat="1" customHeight="1" s="5">
      <c r="C39" s="37" t="n"/>
      <c r="F39" s="148" t="n"/>
      <c r="G39" s="148" t="n"/>
      <c r="H39" s="148" t="n"/>
      <c r="I39" s="148" t="n"/>
      <c r="J39" s="148" t="n"/>
      <c r="M39" s="145" t="n"/>
    </row>
    <row r="40">
      <c r="A40" s="43" t="inlineStr">
        <is>
          <t>6.0</t>
        </is>
      </c>
      <c r="B40" s="44" t="inlineStr">
        <is>
          <t>INSTALAÇÕES GÁS</t>
        </is>
      </c>
      <c r="C40" s="45" t="n"/>
      <c r="D40" s="141" t="inlineStr">
        <is>
          <t>UN</t>
        </is>
      </c>
      <c r="E40" s="141" t="inlineStr">
        <is>
          <t>QUANT</t>
        </is>
      </c>
      <c r="F40" s="142" t="n"/>
      <c r="G40" s="143" t="n"/>
      <c r="H40" s="142" t="n">
        <v>0</v>
      </c>
      <c r="I40" s="144" t="n">
        <v>0</v>
      </c>
      <c r="J40" s="141" t="inlineStr">
        <is>
          <t>UN</t>
        </is>
      </c>
      <c r="K40" s="141" t="inlineStr">
        <is>
          <t>QUANT</t>
        </is>
      </c>
      <c r="L40" s="141" t="n"/>
      <c r="M40" s="141" t="n"/>
    </row>
    <row r="41" ht="9" customFormat="1" customHeight="1" s="5">
      <c r="A41" s="8" t="n"/>
      <c r="B41" s="7" t="n"/>
      <c r="C41" s="36" t="n"/>
      <c r="D41" s="8" t="n"/>
      <c r="E41" s="145" t="n"/>
      <c r="F41" s="146" t="n"/>
      <c r="G41" s="146" t="n"/>
      <c r="H41" s="146" t="n"/>
      <c r="I41" s="147" t="n"/>
      <c r="J41" s="147" t="n"/>
      <c r="K41" s="145" t="n"/>
      <c r="L41" s="145" t="n"/>
      <c r="M41" s="145" t="n"/>
    </row>
    <row r="42">
      <c r="A42" s="43" t="inlineStr">
        <is>
          <t>7.0</t>
        </is>
      </c>
      <c r="B42" s="44" t="inlineStr">
        <is>
          <t>FECHAMENTOS</t>
        </is>
      </c>
      <c r="C42" s="45" t="n"/>
      <c r="D42" s="141" t="inlineStr">
        <is>
          <t>UN</t>
        </is>
      </c>
      <c r="E42" s="141" t="inlineStr">
        <is>
          <t>QUANT</t>
        </is>
      </c>
      <c r="F42" s="142" t="n"/>
      <c r="G42" s="143" t="n"/>
      <c r="H42" s="142">
        <f>SUM(H43:H46)</f>
        <v/>
      </c>
      <c r="I42" s="144">
        <f>SUM(I43:I47)</f>
        <v/>
      </c>
      <c r="J42" s="141" t="inlineStr">
        <is>
          <t>UN</t>
        </is>
      </c>
      <c r="K42" s="141" t="inlineStr">
        <is>
          <t>QUANT</t>
        </is>
      </c>
      <c r="L42" s="141" t="n"/>
      <c r="M42" s="141" t="n"/>
    </row>
    <row r="43" ht="31.5" customHeight="1">
      <c r="A43" s="8" t="inlineStr">
        <is>
          <t>7.01</t>
        </is>
      </c>
      <c r="B43" s="7" t="inlineStr">
        <is>
          <t>Instalação de tela plática anti passáros na torre.</t>
        </is>
      </c>
      <c r="C43" s="36" t="n"/>
      <c r="D43" s="8" t="inlineStr">
        <is>
          <t>m²</t>
        </is>
      </c>
      <c r="E43" s="152" t="n">
        <v>50</v>
      </c>
      <c r="F43" s="153" t="n">
        <v>132.46</v>
      </c>
      <c r="G43" s="153" t="n">
        <v>1308.91</v>
      </c>
      <c r="H43" s="153">
        <f>F43+G43</f>
        <v/>
      </c>
      <c r="I43" s="154">
        <f>H43*E43</f>
        <v/>
      </c>
      <c r="J43" s="154" t="inlineStr">
        <is>
          <t>m²</t>
        </is>
      </c>
      <c r="K43" s="151" t="n">
        <v>50</v>
      </c>
      <c r="L43" s="151" t="n"/>
      <c r="M43" s="145" t="n"/>
    </row>
    <row r="44" ht="31.5" customHeight="1">
      <c r="A44" s="8" t="inlineStr">
        <is>
          <t>7.02</t>
        </is>
      </c>
      <c r="B44" s="7" t="inlineStr">
        <is>
          <t>Fechamento da fachada externa em tijolo de vidro, incolor com ventilação.</t>
        </is>
      </c>
      <c r="C44" s="36" t="n"/>
      <c r="D44" s="8" t="inlineStr">
        <is>
          <t>m²</t>
        </is>
      </c>
      <c r="E44" s="145" t="n">
        <v>11</v>
      </c>
      <c r="F44" s="153" t="n">
        <v>3741.33</v>
      </c>
      <c r="G44" s="153" t="n">
        <v>314.14</v>
      </c>
      <c r="H44" s="153">
        <f>F44+G44</f>
        <v/>
      </c>
      <c r="I44" s="154">
        <f>H44*E44</f>
        <v/>
      </c>
      <c r="J44" s="154" t="inlineStr">
        <is>
          <t>m²</t>
        </is>
      </c>
      <c r="K44" s="151" t="n">
        <v>11</v>
      </c>
      <c r="L44" s="151" t="n"/>
      <c r="M44" s="145" t="n"/>
    </row>
    <row r="45" ht="31.5" customHeight="1">
      <c r="A45" s="8" t="inlineStr">
        <is>
          <t>7.03</t>
        </is>
      </c>
      <c r="B45" s="7" t="inlineStr">
        <is>
          <t>Fechamento da fachada externa (lado do estacionamento) em tijolo de vidro , incolor.</t>
        </is>
      </c>
      <c r="C45" s="36" t="n"/>
      <c r="D45" s="8" t="inlineStr">
        <is>
          <t>m²</t>
        </is>
      </c>
      <c r="E45" s="145" t="n">
        <v>5</v>
      </c>
      <c r="F45" s="153" t="n">
        <v>1930.9</v>
      </c>
      <c r="G45" s="153" t="n">
        <v>314.14</v>
      </c>
      <c r="H45" s="153">
        <f>F45+G45</f>
        <v/>
      </c>
      <c r="I45" s="154">
        <f>H45*E45</f>
        <v/>
      </c>
      <c r="J45" s="154" t="inlineStr">
        <is>
          <t>m²</t>
        </is>
      </c>
      <c r="K45" s="151" t="n">
        <v>5</v>
      </c>
      <c r="L45" s="151" t="n"/>
      <c r="M45" s="145" t="n"/>
    </row>
    <row r="46" ht="78.75" customHeight="1">
      <c r="A46" s="8" t="inlineStr">
        <is>
          <t>7.04</t>
        </is>
      </c>
      <c r="B46" s="7" t="inlineStr">
        <is>
          <t>Chapa de ferro perfurada - furo redondo (moeda), para ocultar infra estruturas e condensadores do ar condicionado. Com pintura PU anticorrosiva para elementos metálicos.</t>
        </is>
      </c>
      <c r="C46" s="36" t="n"/>
      <c r="D46" s="8" t="inlineStr">
        <is>
          <t>m²</t>
        </is>
      </c>
      <c r="E46" s="145" t="n">
        <v>80</v>
      </c>
      <c r="F46" s="153" t="n">
        <v>1537.12</v>
      </c>
      <c r="G46" s="153" t="n">
        <v>1178.02</v>
      </c>
      <c r="H46" s="153">
        <f>F46+G46</f>
        <v/>
      </c>
      <c r="I46" s="154">
        <f>H46*E46</f>
        <v/>
      </c>
      <c r="J46" s="154" t="inlineStr">
        <is>
          <t>m²</t>
        </is>
      </c>
      <c r="K46" s="151" t="n">
        <v>104</v>
      </c>
      <c r="L46" s="151" t="inlineStr">
        <is>
          <t>Levantamento em projeto: ≈ 104 m² (caixas de condensadoras + bonecas)</t>
        </is>
      </c>
      <c r="M46" s="145" t="n"/>
    </row>
    <row r="47" ht="63" customHeight="1">
      <c r="A47" s="8" t="inlineStr">
        <is>
          <t>7.05</t>
        </is>
      </c>
      <c r="B47" s="7" t="inlineStr">
        <is>
          <t>Fechamento muro fachada principal em vidro temperado incolor e estrutura de aluminio com pintura eletrostática cor preto.</t>
        </is>
      </c>
      <c r="C47" s="36" t="inlineStr">
        <is>
          <t>Estão inclusos os portões de acesso que também serão em vidro temperado incolor e estrutura de aluminio anodizado, cor preto.</t>
        </is>
      </c>
      <c r="D47" s="8" t="inlineStr">
        <is>
          <t>m²</t>
        </is>
      </c>
      <c r="E47" s="152" t="n">
        <v>110</v>
      </c>
      <c r="F47" s="153" t="n">
        <v>2057.08</v>
      </c>
      <c r="G47" s="153" t="n">
        <v>314.14</v>
      </c>
      <c r="H47" s="153">
        <f>F47+G47</f>
        <v/>
      </c>
      <c r="I47" s="154">
        <f>H47*E47</f>
        <v/>
      </c>
      <c r="J47" s="154" t="inlineStr">
        <is>
          <t>m²</t>
        </is>
      </c>
      <c r="K47" s="151" t="n">
        <v>110</v>
      </c>
      <c r="L47" s="151" t="n"/>
      <c r="M47" s="145" t="n"/>
    </row>
    <row r="48" ht="9" customFormat="1" customHeight="1" s="5">
      <c r="C48" s="37" t="n"/>
      <c r="F48" s="148" t="n"/>
      <c r="G48" s="148" t="n"/>
      <c r="H48" s="148" t="n"/>
      <c r="I48" s="148" t="n"/>
      <c r="J48" s="148" t="n"/>
      <c r="M48" s="145" t="n"/>
    </row>
    <row r="49">
      <c r="A49" s="43" t="inlineStr">
        <is>
          <t>8.0</t>
        </is>
      </c>
      <c r="B49" s="44" t="inlineStr">
        <is>
          <t>FORROS</t>
        </is>
      </c>
      <c r="C49" s="45" t="n"/>
      <c r="D49" s="141" t="inlineStr">
        <is>
          <t>UN</t>
        </is>
      </c>
      <c r="E49" s="141" t="inlineStr">
        <is>
          <t>QUANT</t>
        </is>
      </c>
      <c r="F49" s="142" t="n"/>
      <c r="G49" s="143" t="n"/>
      <c r="H49" s="142" t="n">
        <v>0</v>
      </c>
      <c r="I49" s="144" t="n">
        <v>0</v>
      </c>
      <c r="J49" s="141" t="inlineStr">
        <is>
          <t>UN</t>
        </is>
      </c>
      <c r="K49" s="141" t="inlineStr">
        <is>
          <t>QUANT</t>
        </is>
      </c>
      <c r="L49" s="141" t="n"/>
      <c r="M49" s="141" t="n"/>
    </row>
    <row r="50" ht="9" customFormat="1" customHeight="1" s="5">
      <c r="C50" s="37" t="n"/>
      <c r="F50" s="148" t="n"/>
      <c r="G50" s="148" t="n"/>
      <c r="H50" s="148" t="n"/>
      <c r="I50" s="148" t="n"/>
      <c r="J50" s="148" t="n"/>
      <c r="M50" s="145" t="n"/>
    </row>
    <row r="51">
      <c r="A51" s="43" t="inlineStr">
        <is>
          <t>9.0</t>
        </is>
      </c>
      <c r="B51" s="44" t="inlineStr">
        <is>
          <t>ILUMINAÇÃO</t>
        </is>
      </c>
      <c r="C51" s="45" t="n"/>
      <c r="D51" s="141" t="inlineStr">
        <is>
          <t>UN</t>
        </is>
      </c>
      <c r="E51" s="141" t="inlineStr">
        <is>
          <t>QUANT</t>
        </is>
      </c>
      <c r="F51" s="142" t="n"/>
      <c r="G51" s="143" t="n"/>
      <c r="H51" s="142">
        <f>SUM(H52:H53)</f>
        <v/>
      </c>
      <c r="I51" s="144">
        <f>SUM(I52:I54)</f>
        <v/>
      </c>
      <c r="J51" s="141" t="inlineStr">
        <is>
          <t>UN</t>
        </is>
      </c>
      <c r="K51" s="141" t="inlineStr">
        <is>
          <t>QUANT</t>
        </is>
      </c>
      <c r="L51" s="141" t="n"/>
      <c r="M51" s="141" t="n"/>
    </row>
    <row r="52" ht="78" customHeight="1">
      <c r="A52" s="26" t="inlineStr">
        <is>
          <t>9.02</t>
        </is>
      </c>
      <c r="B52" s="7" t="inlineStr">
        <is>
          <t>Refletores corpo de alumínio injetado e vidro temperado) com iluminação uniforme (wall washer) em led 80w ; ângulo 30°; ip66/ip67;  3000k ; tensão / alimentação: 220v ou bivolt- Para Vista 1</t>
        </is>
      </c>
      <c r="C52" s="36" t="n"/>
      <c r="D52" s="8" t="inlineStr">
        <is>
          <t>unid.</t>
        </is>
      </c>
      <c r="E52" s="145" t="n">
        <v>16</v>
      </c>
      <c r="F52" s="146" t="n">
        <v>261.78</v>
      </c>
      <c r="G52" s="146" t="n">
        <v>91.62</v>
      </c>
      <c r="H52" s="146">
        <f>F52+G52</f>
        <v/>
      </c>
      <c r="I52" s="147">
        <f>H52*E52</f>
        <v/>
      </c>
      <c r="J52" s="147" t="inlineStr">
        <is>
          <t>unid.</t>
        </is>
      </c>
      <c r="K52" s="145" t="n">
        <v>16</v>
      </c>
      <c r="L52" s="145" t="n"/>
      <c r="M52" s="145" t="n"/>
    </row>
    <row r="53" ht="120" customHeight="1">
      <c r="A53" s="26" t="inlineStr">
        <is>
          <t>9.04</t>
        </is>
      </c>
      <c r="B53" s="81" t="inlineStr">
        <is>
          <t>Refletores corpo de alumínio injetado e vidro temperado) com iluminação uniforme (wall washer) em led 150w ; ópticas padrão de facho médio ângulo 30°a 45°; ip66/ip67;  3000k ; tensão / alimentação: 220v ou bivolt.
fixados no muro pelo lado interno e em cima da cobertura de acesso ao estacionamento - Para Vista 2</t>
        </is>
      </c>
      <c r="C53" s="36" t="n"/>
      <c r="D53" s="8" t="inlineStr">
        <is>
          <t>unid.</t>
        </is>
      </c>
      <c r="E53" s="145" t="n">
        <v>22</v>
      </c>
      <c r="F53" s="146" t="n">
        <v>261.78</v>
      </c>
      <c r="G53" s="146" t="n">
        <v>91.62</v>
      </c>
      <c r="H53" s="146">
        <f>F53+G53</f>
        <v/>
      </c>
      <c r="I53" s="147">
        <f>H53*E53</f>
        <v/>
      </c>
      <c r="J53" s="147" t="inlineStr">
        <is>
          <t>unid.</t>
        </is>
      </c>
      <c r="K53" s="145" t="n">
        <v>22</v>
      </c>
      <c r="L53" s="145" t="n"/>
      <c r="M53" s="145" t="n"/>
    </row>
    <row r="54" ht="75" customHeight="1">
      <c r="A54" s="26" t="inlineStr">
        <is>
          <t>9.06</t>
        </is>
      </c>
      <c r="B54" s="82" t="inlineStr">
        <is>
          <t>Refletores corpo de alumínio injetado e vidro temperado) com iluminação uniforme (wall washer) em led 80w ; ângulo 30°; ip66/ip67;  3000k ; tensão / alimentação: 220v ou bivolt.. — Para Vista 3</t>
        </is>
      </c>
      <c r="C54" s="36" t="n"/>
      <c r="D54" s="8" t="inlineStr">
        <is>
          <t>unid.</t>
        </is>
      </c>
      <c r="E54" s="145" t="n">
        <v>14</v>
      </c>
      <c r="F54" s="146" t="n">
        <v>261.78</v>
      </c>
      <c r="G54" s="146" t="n">
        <v>91.62</v>
      </c>
      <c r="H54" s="146">
        <f>F54+G54</f>
        <v/>
      </c>
      <c r="I54" s="147">
        <f>H54*E54</f>
        <v/>
      </c>
      <c r="J54" s="147" t="inlineStr">
        <is>
          <t>unid.</t>
        </is>
      </c>
      <c r="K54" s="145" t="n">
        <v>14</v>
      </c>
      <c r="L54" s="145" t="n"/>
      <c r="M54" s="145" t="n"/>
    </row>
    <row r="55" ht="6" customHeight="1">
      <c r="B55" s="5" t="n"/>
      <c r="C55" s="37" t="n"/>
      <c r="D55" s="5" t="n"/>
      <c r="E55" s="145" t="n"/>
      <c r="F55" s="146" t="n"/>
      <c r="G55" s="146" t="n"/>
      <c r="H55" s="146" t="n"/>
      <c r="I55" s="147" t="n"/>
      <c r="J55" s="147" t="n"/>
      <c r="K55" s="145" t="n"/>
      <c r="L55" s="145" t="n"/>
      <c r="M55" s="145" t="n"/>
    </row>
    <row r="56">
      <c r="A56" s="43" t="inlineStr">
        <is>
          <t>10.0</t>
        </is>
      </c>
      <c r="B56" s="44" t="inlineStr">
        <is>
          <t>PINTURA/ ACABAMENTOS</t>
        </is>
      </c>
      <c r="C56" s="45" t="n"/>
      <c r="D56" s="141" t="inlineStr">
        <is>
          <t>UN</t>
        </is>
      </c>
      <c r="E56" s="141" t="inlineStr">
        <is>
          <t>QUANT</t>
        </is>
      </c>
      <c r="F56" s="142" t="n"/>
      <c r="G56" s="143" t="n"/>
      <c r="H56" s="142">
        <f>SUM(H57:H58)</f>
        <v/>
      </c>
      <c r="I56" s="144">
        <f>SUM(I57:I60)</f>
        <v/>
      </c>
      <c r="J56" s="141" t="inlineStr">
        <is>
          <t>UN</t>
        </is>
      </c>
      <c r="K56" s="141" t="inlineStr">
        <is>
          <t>QUANT</t>
        </is>
      </c>
      <c r="L56" s="141" t="n"/>
      <c r="M56" s="141" t="n"/>
    </row>
    <row r="57">
      <c r="A57" s="26" t="inlineStr">
        <is>
          <t>10.01</t>
        </is>
      </c>
      <c r="B57" s="34" t="inlineStr">
        <is>
          <t>Aplicação de massa corrida</t>
        </is>
      </c>
      <c r="C57" s="54" t="inlineStr">
        <is>
          <t>forro existente</t>
        </is>
      </c>
      <c r="D57" s="8" t="inlineStr">
        <is>
          <t>vb</t>
        </is>
      </c>
      <c r="E57" s="145" t="n">
        <v>1</v>
      </c>
      <c r="F57" s="146" t="n">
        <v>1400.53</v>
      </c>
      <c r="G57" s="146" t="n">
        <v>5235.63</v>
      </c>
      <c r="H57" s="146">
        <f>F57+G57</f>
        <v/>
      </c>
      <c r="I57" s="147">
        <f>H57*E57</f>
        <v/>
      </c>
      <c r="J57" s="147" t="inlineStr">
        <is>
          <t>vb</t>
        </is>
      </c>
      <c r="K57" s="151" t="n">
        <v>80</v>
      </c>
      <c r="L57" s="151" t="inlineStr">
        <is>
          <t>80 m² de forro</t>
        </is>
      </c>
      <c r="M57" s="145" t="n"/>
    </row>
    <row r="58" ht="33" customHeight="1">
      <c r="A58" s="26" t="inlineStr">
        <is>
          <t>10.02</t>
        </is>
      </c>
      <c r="B58" s="34" t="inlineStr">
        <is>
          <t>Pintura - Acrílico Fosco Branco rende muito (Coral)</t>
        </is>
      </c>
      <c r="C58" s="54" t="inlineStr">
        <is>
          <t>forro existente</t>
        </is>
      </c>
      <c r="D58" s="8" t="inlineStr">
        <is>
          <t>vb</t>
        </is>
      </c>
      <c r="E58" s="145" t="n">
        <v>1</v>
      </c>
      <c r="F58" s="146" t="n">
        <v>1822</v>
      </c>
      <c r="G58" s="146" t="n">
        <v>5235.63</v>
      </c>
      <c r="H58" s="146">
        <f>F58+G58</f>
        <v/>
      </c>
      <c r="I58" s="147">
        <f>H58*E58</f>
        <v/>
      </c>
      <c r="J58" s="147" t="inlineStr">
        <is>
          <t>vb</t>
        </is>
      </c>
      <c r="K58" s="151" t="n">
        <v>80</v>
      </c>
      <c r="L58" s="151" t="inlineStr">
        <is>
          <t>80 m² de forro</t>
        </is>
      </c>
      <c r="M58" s="145" t="n"/>
    </row>
    <row r="59" ht="47.25" customHeight="1">
      <c r="A59" s="26" t="inlineStr">
        <is>
          <t>10.03</t>
        </is>
      </c>
      <c r="B59" s="34" t="inlineStr">
        <is>
          <t>Pintura dos caixilhos e portas de ferro, existentes em esmalte sintético cor preta, sobre fundo antiferruginoso.</t>
        </is>
      </c>
      <c r="C59" s="125" t="inlineStr">
        <is>
          <t>Deverão ser verificados os vidros existentes e caso haja necessidade, deverão ser trocados.</t>
        </is>
      </c>
      <c r="D59" s="126" t="inlineStr">
        <is>
          <t>vb</t>
        </is>
      </c>
      <c r="E59" s="151" t="n">
        <v>1</v>
      </c>
      <c r="F59" s="146" t="n">
        <v>21869.23</v>
      </c>
      <c r="G59" s="146" t="n">
        <v>119110.61</v>
      </c>
      <c r="H59" s="146">
        <f>F59+G59</f>
        <v/>
      </c>
      <c r="I59" s="147">
        <f>H59*E59</f>
        <v/>
      </c>
      <c r="J59" s="147" t="inlineStr">
        <is>
          <t>vb</t>
        </is>
      </c>
      <c r="K59" s="151" t="n">
        <v>130</v>
      </c>
      <c r="L59" s="151" t="inlineStr">
        <is>
          <t>130 caixilhos (≈ 385 m² de vão)</t>
        </is>
      </c>
      <c r="M59" s="145" t="n"/>
    </row>
    <row r="60" ht="47.25" customFormat="1" customHeight="1" s="5">
      <c r="A60" s="26" t="inlineStr">
        <is>
          <t>10.04</t>
        </is>
      </c>
      <c r="B60" s="7" t="inlineStr">
        <is>
          <t>Pintura de hidrantes existentes, elementos de incêndio e portas corta fogo existentes - vermelho bombeiro</t>
        </is>
      </c>
      <c r="C60" s="54" t="n"/>
      <c r="D60" s="8" t="inlineStr">
        <is>
          <t>vb</t>
        </is>
      </c>
      <c r="E60" s="145" t="n">
        <v>1</v>
      </c>
      <c r="F60" s="146" t="n">
        <v>2683.26</v>
      </c>
      <c r="G60" s="146" t="n">
        <v>11780.17</v>
      </c>
      <c r="H60" s="146">
        <f>F60+G60</f>
        <v/>
      </c>
      <c r="I60" s="147">
        <f>H60*E60</f>
        <v/>
      </c>
      <c r="J60" s="147" t="inlineStr">
        <is>
          <t>vb</t>
        </is>
      </c>
      <c r="K60" s="145" t="n">
        <v>1</v>
      </c>
      <c r="L60" s="145" t="inlineStr">
        <is>
          <t>2 portas corta-fogo, 2 hidrantes, 2 registros de recalque, tubulação de incêndio e corrimão</t>
        </is>
      </c>
      <c r="M60" s="145" t="n"/>
    </row>
    <row r="61" ht="6" customHeight="1">
      <c r="B61" s="5" t="n"/>
      <c r="C61" s="37" t="n"/>
      <c r="D61" s="5" t="n"/>
      <c r="E61" s="5" t="n"/>
      <c r="F61" s="148" t="n"/>
      <c r="G61" s="148" t="n"/>
      <c r="H61" s="148" t="n"/>
      <c r="I61" s="148" t="n"/>
      <c r="J61" s="148" t="n"/>
      <c r="K61" s="5" t="n"/>
      <c r="L61" s="5" t="n"/>
      <c r="M61" s="145" t="n"/>
    </row>
    <row r="62">
      <c r="A62" s="43" t="inlineStr">
        <is>
          <t>11.0</t>
        </is>
      </c>
      <c r="B62" s="44" t="inlineStr">
        <is>
          <t>REVESTIMENTOS DE PISO</t>
        </is>
      </c>
      <c r="C62" s="45" t="n"/>
      <c r="D62" s="141" t="inlineStr">
        <is>
          <t>UN</t>
        </is>
      </c>
      <c r="E62" s="141" t="inlineStr">
        <is>
          <t>QUANT</t>
        </is>
      </c>
      <c r="F62" s="142" t="n"/>
      <c r="G62" s="143" t="n"/>
      <c r="H62" s="142" t="n">
        <v>0</v>
      </c>
      <c r="I62" s="144" t="n">
        <v>0</v>
      </c>
      <c r="J62" s="141" t="inlineStr">
        <is>
          <t>UN</t>
        </is>
      </c>
      <c r="K62" s="141" t="inlineStr">
        <is>
          <t>QUANT</t>
        </is>
      </c>
      <c r="L62" s="141" t="n"/>
      <c r="M62" s="141" t="n"/>
    </row>
    <row r="63">
      <c r="B63" s="5" t="n"/>
      <c r="C63" s="37" t="n"/>
      <c r="D63" s="5" t="n"/>
      <c r="E63" s="5" t="n"/>
      <c r="F63" s="148" t="n"/>
      <c r="G63" s="148" t="n"/>
      <c r="H63" s="148" t="n"/>
      <c r="I63" s="148" t="n"/>
      <c r="J63" s="148" t="n"/>
      <c r="K63" s="5" t="n"/>
      <c r="L63" s="5" t="n"/>
      <c r="M63" s="145" t="n"/>
    </row>
    <row r="64">
      <c r="A64" s="43" t="inlineStr">
        <is>
          <t>12.0</t>
        </is>
      </c>
      <c r="B64" s="44" t="inlineStr">
        <is>
          <t>REVESTIMENTOS DE PAREDE</t>
        </is>
      </c>
      <c r="C64" s="45" t="n"/>
      <c r="D64" s="141" t="inlineStr">
        <is>
          <t>UN</t>
        </is>
      </c>
      <c r="E64" s="141" t="inlineStr">
        <is>
          <t>QUANT</t>
        </is>
      </c>
      <c r="F64" s="142" t="n"/>
      <c r="G64" s="143" t="n"/>
      <c r="H64" s="142">
        <f>SUM(H65:H69)</f>
        <v/>
      </c>
      <c r="I64" s="144">
        <f>SUM(I65:I70)</f>
        <v/>
      </c>
      <c r="J64" s="141" t="inlineStr">
        <is>
          <t>UN</t>
        </is>
      </c>
      <c r="K64" s="141" t="inlineStr">
        <is>
          <t>QUANT</t>
        </is>
      </c>
      <c r="L64" s="141" t="n"/>
      <c r="M64" s="141" t="n"/>
    </row>
    <row r="65" ht="94.5" customHeight="1">
      <c r="A65" s="26" t="inlineStr">
        <is>
          <t>12.01</t>
        </is>
      </c>
      <c r="B65" s="7" t="inlineStr">
        <is>
          <t>Revestimento fachadas externas em FULGET cor cinza médio, com juntas de dilatação em alumínio 1" e aplicação de resina acrílica impermeabilizante para proteção do fulget, preparar a base com chapisco, e novo reboco para aplicação do FULGET</t>
        </is>
      </c>
      <c r="C65" s="54" t="n"/>
      <c r="D65" s="8" t="inlineStr">
        <is>
          <t>m²</t>
        </is>
      </c>
      <c r="E65" s="155" t="n">
        <v>1830.4</v>
      </c>
      <c r="F65" s="146" t="n">
        <v>174.92</v>
      </c>
      <c r="G65" s="146" t="n">
        <v>685.66</v>
      </c>
      <c r="H65" s="146">
        <f>F65+G65</f>
        <v/>
      </c>
      <c r="I65" s="147">
        <f>H65*E65</f>
        <v/>
      </c>
      <c r="J65" s="147" t="inlineStr">
        <is>
          <t>m²</t>
        </is>
      </c>
      <c r="K65" s="155" t="n">
        <v>1830.4</v>
      </c>
      <c r="L65" s="155" t="n"/>
      <c r="M65" s="145" t="n"/>
    </row>
    <row r="66" ht="94.5" customHeight="1">
      <c r="A66" s="26" t="inlineStr">
        <is>
          <t>12.02</t>
        </is>
      </c>
      <c r="B66" s="57" t="inlineStr">
        <is>
          <t>Revestimento da Torre em FULGET cinza claro. com juntas de dilatação em alumínio 1" e aplicação de resina acrílica impermeabilizante para proteção do fulget, preparar a base com chapisco, e novo reboco para aplicação do FULGET.</t>
        </is>
      </c>
      <c r="C66" s="64" t="n"/>
      <c r="D66" s="63" t="inlineStr">
        <is>
          <t>m²</t>
        </is>
      </c>
      <c r="E66" s="155" t="n">
        <v>53.83</v>
      </c>
      <c r="F66" s="146" t="n">
        <v>194.52</v>
      </c>
      <c r="G66" s="146" t="n">
        <v>685.65</v>
      </c>
      <c r="H66" s="146">
        <f>F66+G66</f>
        <v/>
      </c>
      <c r="I66" s="147">
        <f>H66*E66</f>
        <v/>
      </c>
      <c r="J66" s="147" t="inlineStr">
        <is>
          <t>m²</t>
        </is>
      </c>
      <c r="K66" s="155" t="n">
        <v>53.83</v>
      </c>
      <c r="L66" s="155" t="n"/>
      <c r="M66" s="145" t="n"/>
    </row>
    <row r="67" ht="94.5" customHeight="1">
      <c r="A67" s="26" t="inlineStr">
        <is>
          <t>12.03</t>
        </is>
      </c>
      <c r="B67" s="57" t="inlineStr">
        <is>
          <t>Revestimento externo da floreira em FULGET vermelho. com juntas de dilatação em alumínio 1" e aplicação de resina acrílica impermeabilizante para proteção do fulget,preparar a base com chapisco, e novo reboco para aplicação do FULGET</t>
        </is>
      </c>
      <c r="C67" s="64" t="n"/>
      <c r="D67" s="63" t="inlineStr">
        <is>
          <t>m²</t>
        </is>
      </c>
      <c r="E67" s="155" t="n">
        <v>2</v>
      </c>
      <c r="F67" s="146" t="n">
        <v>1893.99</v>
      </c>
      <c r="G67" s="146" t="n">
        <v>685.87</v>
      </c>
      <c r="H67" s="146">
        <f>F67+G67</f>
        <v/>
      </c>
      <c r="I67" s="147">
        <f>H67*E67</f>
        <v/>
      </c>
      <c r="J67" s="147" t="inlineStr">
        <is>
          <t>m²</t>
        </is>
      </c>
      <c r="K67" s="155" t="n">
        <v>2</v>
      </c>
      <c r="L67" s="155" t="n"/>
      <c r="M67" s="145" t="n"/>
    </row>
    <row r="68">
      <c r="A68" s="26" t="inlineStr">
        <is>
          <t>12.04</t>
        </is>
      </c>
      <c r="B68" s="57" t="inlineStr">
        <is>
          <t>Moldura Cimentícia - EPS -100x30 mm.</t>
        </is>
      </c>
      <c r="C68" s="54" t="n"/>
      <c r="D68" s="8" t="inlineStr">
        <is>
          <t>ml</t>
        </is>
      </c>
      <c r="E68" s="155" t="n">
        <v>1269</v>
      </c>
      <c r="F68" s="146" t="n">
        <v>79.13</v>
      </c>
      <c r="G68" s="146" t="n">
        <v>65.45</v>
      </c>
      <c r="H68" s="146">
        <f>F68+G68</f>
        <v/>
      </c>
      <c r="I68" s="147">
        <f>H68*E68</f>
        <v/>
      </c>
      <c r="J68" s="147" t="inlineStr">
        <is>
          <t>ml</t>
        </is>
      </c>
      <c r="K68" s="155" t="n">
        <v>1269</v>
      </c>
      <c r="L68" s="155" t="inlineStr">
        <is>
          <t>Fornecimento e instalação; remoção da moldura existente lançada em 24.08</t>
        </is>
      </c>
      <c r="M68" s="145" t="n"/>
    </row>
    <row r="69" ht="94.5" customHeight="1">
      <c r="A69" s="26" t="inlineStr">
        <is>
          <t>12.05</t>
        </is>
      </c>
      <c r="B69" s="7" t="inlineStr">
        <is>
          <t>Painéis de ACM 4mm Vermelho Institucional São Camilo (Platibandas e Marquises),Subestrutura auxiliar em perfis tubulares de alumínio/aço galvanizado para ACM, Silicone neutro/mastique PU de cura estrutural para vedação de juntas de ACM</t>
        </is>
      </c>
      <c r="C69" s="54" t="n"/>
      <c r="D69" s="8" t="inlineStr">
        <is>
          <t>m²</t>
        </is>
      </c>
      <c r="E69" s="155" t="n">
        <v>287.84</v>
      </c>
      <c r="F69" s="146" t="n">
        <v>749.49</v>
      </c>
      <c r="G69" s="146" t="n">
        <v>392.67</v>
      </c>
      <c r="H69" s="146">
        <f>F69+G69</f>
        <v/>
      </c>
      <c r="I69" s="147">
        <f>H69*E69</f>
        <v/>
      </c>
      <c r="J69" s="147" t="inlineStr">
        <is>
          <t>m²</t>
        </is>
      </c>
      <c r="K69" s="155" t="n">
        <v>287.84</v>
      </c>
      <c r="L69" s="155" t="n"/>
      <c r="M69" s="145" t="n"/>
    </row>
    <row r="70" ht="94.5" customHeight="1">
      <c r="A70" s="26" t="inlineStr">
        <is>
          <t>12.06</t>
        </is>
      </c>
      <c r="B70" s="7" t="inlineStr">
        <is>
          <t>Painéis de ACM 4mm Cinza Médio (Destaque Fachada Vista 1), Subestrutura auxiliar em perfis tubulares de alumínio/aço galvanizado para ACM, Silicone neutro/mastique PU de cura estrutural para vedação de juntas de ACM</t>
        </is>
      </c>
      <c r="C70" s="54" t="n"/>
      <c r="D70" s="8" t="inlineStr">
        <is>
          <t>m²</t>
        </is>
      </c>
      <c r="E70" s="155" t="n">
        <v>23.47</v>
      </c>
      <c r="F70" s="146" t="n">
        <v>764.71</v>
      </c>
      <c r="G70" s="146" t="n">
        <v>392.73</v>
      </c>
      <c r="H70" s="146">
        <f>F70+G70</f>
        <v/>
      </c>
      <c r="I70" s="147">
        <f>H70*E70</f>
        <v/>
      </c>
      <c r="J70" s="147" t="inlineStr">
        <is>
          <t>m²</t>
        </is>
      </c>
      <c r="K70" s="155" t="n">
        <v>23.47</v>
      </c>
      <c r="L70" s="155" t="n"/>
      <c r="M70" s="145" t="n"/>
    </row>
    <row r="71">
      <c r="A71" s="59" t="n"/>
      <c r="B71" s="60" t="n"/>
      <c r="C71" s="58" t="n"/>
      <c r="D71" s="2" t="n"/>
      <c r="E71" s="156" t="n"/>
      <c r="F71" s="157" t="n"/>
      <c r="G71" s="157" t="n"/>
      <c r="H71" s="157" t="n"/>
      <c r="I71" s="157" t="n"/>
      <c r="J71" s="157" t="n"/>
      <c r="K71" s="156" t="n"/>
      <c r="L71" s="156" t="n"/>
      <c r="M71" s="145" t="n"/>
    </row>
    <row r="72">
      <c r="A72" s="43" t="inlineStr">
        <is>
          <t>13.0</t>
        </is>
      </c>
      <c r="B72" s="44" t="inlineStr">
        <is>
          <t>ACABAMENTOS</t>
        </is>
      </c>
      <c r="C72" s="45" t="n"/>
      <c r="D72" s="141" t="inlineStr">
        <is>
          <t>UN</t>
        </is>
      </c>
      <c r="E72" s="141" t="inlineStr">
        <is>
          <t>QUANT</t>
        </is>
      </c>
      <c r="F72" s="142" t="n"/>
      <c r="G72" s="143" t="n"/>
      <c r="H72" s="142" t="n">
        <v>0</v>
      </c>
      <c r="I72" s="144" t="n">
        <v>0</v>
      </c>
      <c r="J72" s="141" t="inlineStr">
        <is>
          <t>UN</t>
        </is>
      </c>
      <c r="K72" s="141" t="inlineStr">
        <is>
          <t>QUANT</t>
        </is>
      </c>
      <c r="L72" s="141" t="n"/>
      <c r="M72" s="141" t="n"/>
    </row>
    <row r="73">
      <c r="B73" s="5" t="n"/>
      <c r="C73" s="37" t="n"/>
      <c r="D73" s="5" t="n"/>
      <c r="E73" s="5" t="n"/>
      <c r="F73" s="148" t="n"/>
      <c r="G73" s="148" t="n"/>
      <c r="H73" s="148" t="n"/>
      <c r="I73" s="148" t="n"/>
      <c r="J73" s="148" t="n"/>
      <c r="K73" s="5" t="n"/>
      <c r="L73" s="5" t="n"/>
      <c r="M73" s="145" t="n"/>
    </row>
    <row r="74">
      <c r="A74" s="43" t="inlineStr">
        <is>
          <t>14.0</t>
        </is>
      </c>
      <c r="B74" s="44" t="inlineStr">
        <is>
          <t>ESQUADRIAS,PORTAS e CAIXILHOS</t>
        </is>
      </c>
      <c r="C74" s="45" t="n"/>
      <c r="D74" s="141" t="inlineStr">
        <is>
          <t>UN</t>
        </is>
      </c>
      <c r="E74" s="141" t="inlineStr">
        <is>
          <t>QUANT</t>
        </is>
      </c>
      <c r="F74" s="142" t="n"/>
      <c r="G74" s="143" t="n"/>
      <c r="H74" s="142">
        <f>SUM(H75:H75)</f>
        <v/>
      </c>
      <c r="I74" s="144">
        <f>SUM(I75:I75)</f>
        <v/>
      </c>
      <c r="J74" s="141" t="inlineStr">
        <is>
          <t>UN</t>
        </is>
      </c>
      <c r="K74" s="141" t="inlineStr">
        <is>
          <t>QUANT</t>
        </is>
      </c>
      <c r="L74" s="141" t="n"/>
      <c r="M74" s="141" t="n"/>
    </row>
    <row r="75" ht="31.5" customHeight="1">
      <c r="A75" s="126" t="inlineStr">
        <is>
          <t>14.01</t>
        </is>
      </c>
      <c r="B75" s="10" t="inlineStr">
        <is>
          <t xml:space="preserve">Fornecimento de tela metálica galvanizada, malha ondulada (artístico) - malha 20 mm². </t>
        </is>
      </c>
      <c r="C75" s="62" t="inlineStr">
        <is>
          <t>janela</t>
        </is>
      </c>
      <c r="D75" s="8" t="inlineStr">
        <is>
          <t>unid.</t>
        </is>
      </c>
      <c r="E75" s="145" t="n">
        <v>3</v>
      </c>
      <c r="F75" s="146" t="n">
        <v>1565.45</v>
      </c>
      <c r="G75" s="146" t="n">
        <v>1308.91</v>
      </c>
      <c r="H75" s="146">
        <f>F75+G75</f>
        <v/>
      </c>
      <c r="I75" s="147">
        <f>H75*E75</f>
        <v/>
      </c>
      <c r="J75" s="147" t="inlineStr">
        <is>
          <t>unid.</t>
        </is>
      </c>
      <c r="K75" s="151" t="n">
        <v>3</v>
      </c>
      <c r="L75" s="151" t="n"/>
      <c r="M75" s="145" t="n"/>
    </row>
    <row r="76" ht="7.5" customHeight="1">
      <c r="A76" s="12" t="n"/>
      <c r="B76" s="7" t="n"/>
      <c r="C76" s="38" t="n"/>
      <c r="D76" s="8" t="n"/>
      <c r="E76" s="155" t="n"/>
      <c r="F76" s="146" t="n"/>
      <c r="G76" s="146" t="n"/>
      <c r="H76" s="146" t="n"/>
      <c r="I76" s="147" t="n"/>
      <c r="J76" s="147" t="n"/>
      <c r="K76" s="155" t="n"/>
      <c r="L76" s="155" t="n"/>
      <c r="M76" s="145" t="n"/>
    </row>
    <row r="77">
      <c r="A77" s="43" t="inlineStr">
        <is>
          <t>15.0</t>
        </is>
      </c>
      <c r="B77" s="44" t="inlineStr">
        <is>
          <t>LOUÇAS E METAIS</t>
        </is>
      </c>
      <c r="C77" s="45" t="n"/>
      <c r="D77" s="141" t="inlineStr">
        <is>
          <t>UN</t>
        </is>
      </c>
      <c r="E77" s="141" t="inlineStr">
        <is>
          <t>QUANT</t>
        </is>
      </c>
      <c r="F77" s="142" t="n"/>
      <c r="G77" s="143" t="n"/>
      <c r="H77" s="142" t="n">
        <v>0</v>
      </c>
      <c r="I77" s="144" t="n">
        <v>0</v>
      </c>
      <c r="J77" s="141" t="inlineStr">
        <is>
          <t>UN</t>
        </is>
      </c>
      <c r="K77" s="141" t="inlineStr">
        <is>
          <t>QUANT</t>
        </is>
      </c>
      <c r="L77" s="141" t="n"/>
      <c r="M77" s="141" t="n"/>
    </row>
    <row r="78" ht="7.5" customHeight="1">
      <c r="A78" s="63" t="n"/>
      <c r="B78" s="16" t="n"/>
      <c r="C78" s="39" t="n"/>
      <c r="D78" s="16" t="n"/>
      <c r="E78" s="16" t="n"/>
      <c r="F78" s="146" t="n"/>
      <c r="G78" s="146" t="n"/>
      <c r="H78" s="146" t="n"/>
      <c r="I78" s="147" t="n"/>
      <c r="J78" s="158" t="n"/>
      <c r="K78" s="16" t="n"/>
      <c r="L78" s="16" t="n"/>
      <c r="M78" s="145" t="n"/>
    </row>
    <row r="79">
      <c r="A79" s="43" t="inlineStr">
        <is>
          <t>16.0</t>
        </is>
      </c>
      <c r="B79" s="44" t="inlineStr">
        <is>
          <t>MARMORES E GRANITOS</t>
        </is>
      </c>
      <c r="C79" s="45" t="n"/>
      <c r="D79" s="141" t="inlineStr">
        <is>
          <t>UN</t>
        </is>
      </c>
      <c r="E79" s="141" t="inlineStr">
        <is>
          <t>QUANT</t>
        </is>
      </c>
      <c r="F79" s="142" t="n"/>
      <c r="G79" s="143" t="n"/>
      <c r="H79" s="142" t="n">
        <v>0</v>
      </c>
      <c r="I79" s="144" t="n">
        <v>0</v>
      </c>
      <c r="J79" s="141" t="inlineStr">
        <is>
          <t>UN</t>
        </is>
      </c>
      <c r="K79" s="141" t="inlineStr">
        <is>
          <t>QUANT</t>
        </is>
      </c>
      <c r="L79" s="141" t="n"/>
      <c r="M79" s="141" t="n"/>
    </row>
    <row r="80" ht="6" customHeight="1">
      <c r="A80" s="15" t="n"/>
      <c r="B80" s="16" t="n"/>
      <c r="C80" s="39" t="n"/>
      <c r="D80" s="16" t="n"/>
      <c r="E80" s="16" t="n"/>
      <c r="F80" s="159" t="n"/>
      <c r="G80" s="159" t="n"/>
      <c r="H80" s="159" t="n"/>
      <c r="I80" s="159" t="n"/>
      <c r="J80" s="159" t="n"/>
      <c r="K80" s="16" t="n"/>
      <c r="L80" s="16" t="n"/>
      <c r="M80" s="145" t="n"/>
    </row>
    <row r="81">
      <c r="A81" s="43" t="inlineStr">
        <is>
          <t>17.0</t>
        </is>
      </c>
      <c r="B81" s="44" t="inlineStr">
        <is>
          <t>DIVISÓRIAS SANITÁRIAS</t>
        </is>
      </c>
      <c r="C81" s="45" t="n"/>
      <c r="D81" s="141" t="inlineStr">
        <is>
          <t>UN</t>
        </is>
      </c>
      <c r="E81" s="141" t="inlineStr">
        <is>
          <t>QUANT</t>
        </is>
      </c>
      <c r="F81" s="142" t="n"/>
      <c r="G81" s="143" t="n"/>
      <c r="H81" s="142" t="n">
        <v>0</v>
      </c>
      <c r="I81" s="144" t="n">
        <v>0</v>
      </c>
      <c r="J81" s="141" t="inlineStr">
        <is>
          <t>UN</t>
        </is>
      </c>
      <c r="K81" s="141" t="inlineStr">
        <is>
          <t>QUANT</t>
        </is>
      </c>
      <c r="L81" s="141" t="n"/>
      <c r="M81" s="141" t="n"/>
    </row>
    <row r="82" ht="10.5" customHeight="1">
      <c r="A82" s="15" t="n"/>
      <c r="B82" s="16" t="n"/>
      <c r="C82" s="39" t="n"/>
      <c r="D82" s="16" t="n"/>
      <c r="E82" s="16" t="n"/>
      <c r="F82" s="159" t="n"/>
      <c r="G82" s="159" t="n"/>
      <c r="H82" s="159" t="n"/>
      <c r="I82" s="159" t="n"/>
      <c r="J82" s="159" t="n"/>
      <c r="K82" s="16" t="n"/>
      <c r="L82" s="16" t="n"/>
      <c r="M82" s="145" t="n"/>
    </row>
    <row r="83">
      <c r="A83" s="43" t="inlineStr">
        <is>
          <t>18.0</t>
        </is>
      </c>
      <c r="B83" s="44" t="inlineStr">
        <is>
          <t>IMPERMEABILIZAÇÃO</t>
        </is>
      </c>
      <c r="C83" s="45" t="n"/>
      <c r="D83" s="141" t="inlineStr">
        <is>
          <t>UN</t>
        </is>
      </c>
      <c r="E83" s="141" t="inlineStr">
        <is>
          <t>QUANT</t>
        </is>
      </c>
      <c r="F83" s="142" t="n"/>
      <c r="G83" s="143" t="n"/>
      <c r="H83" s="142">
        <f>SUM(H84)</f>
        <v/>
      </c>
      <c r="I83" s="142">
        <f>SUM(I84)</f>
        <v/>
      </c>
      <c r="J83" s="141" t="inlineStr">
        <is>
          <t>UN</t>
        </is>
      </c>
      <c r="K83" s="141" t="inlineStr">
        <is>
          <t>QUANT</t>
        </is>
      </c>
      <c r="L83" s="141" t="n"/>
      <c r="M83" s="141" t="n"/>
    </row>
    <row r="84" ht="47.25" customFormat="1" customHeight="1" s="5">
      <c r="A84" s="8" t="inlineStr">
        <is>
          <t>18.01</t>
        </is>
      </c>
      <c r="B84" s="7" t="inlineStr">
        <is>
          <t xml:space="preserve">Sistema de impermeabilização liquida viaplus 7.000 , inclusos regularização, primer e proteção mecânica. </t>
        </is>
      </c>
      <c r="C84" s="36" t="n"/>
      <c r="D84" s="8" t="inlineStr">
        <is>
          <t>m²</t>
        </is>
      </c>
      <c r="E84" s="155" t="n">
        <v>1884.25</v>
      </c>
      <c r="F84" s="146" t="n">
        <v>217.35</v>
      </c>
      <c r="G84" s="146" t="n">
        <v>167.54</v>
      </c>
      <c r="H84" s="146">
        <f>F84+G84</f>
        <v/>
      </c>
      <c r="I84" s="147">
        <f>H84*E84</f>
        <v/>
      </c>
      <c r="J84" s="147" t="inlineStr">
        <is>
          <t>m²</t>
        </is>
      </c>
      <c r="K84" s="155" t="n">
        <v>1884.25</v>
      </c>
      <c r="L84" s="155" t="inlineStr">
        <is>
          <t>Quantidade alterada de 0 para 1.884,25 m² – impermeabilização de toda a área de Fulget</t>
        </is>
      </c>
      <c r="M84" s="145" t="n"/>
    </row>
    <row r="85" ht="7.5" customHeight="1">
      <c r="A85" s="15" t="n"/>
      <c r="B85" s="16" t="n"/>
      <c r="C85" s="39" t="n"/>
      <c r="D85" s="16" t="n"/>
      <c r="E85" s="16" t="n"/>
      <c r="F85" s="159" t="n"/>
      <c r="G85" s="159" t="n"/>
      <c r="H85" s="159" t="n"/>
      <c r="I85" s="159" t="n"/>
      <c r="J85" s="159" t="n"/>
      <c r="K85" s="16" t="n"/>
      <c r="L85" s="16" t="n"/>
      <c r="M85" s="145" t="n"/>
    </row>
    <row r="86">
      <c r="A86" s="43" t="inlineStr">
        <is>
          <t>19.0</t>
        </is>
      </c>
      <c r="B86" s="44" t="inlineStr">
        <is>
          <t>AR CONDICIONADO</t>
        </is>
      </c>
      <c r="C86" s="45" t="n"/>
      <c r="D86" s="141" t="inlineStr">
        <is>
          <t>UN</t>
        </is>
      </c>
      <c r="E86" s="141" t="inlineStr">
        <is>
          <t>QUANT</t>
        </is>
      </c>
      <c r="F86" s="142" t="n"/>
      <c r="G86" s="143" t="n"/>
      <c r="H86" s="142" t="n">
        <v>0</v>
      </c>
      <c r="I86" s="144" t="n">
        <v>0</v>
      </c>
      <c r="J86" s="141" t="inlineStr">
        <is>
          <t>UN</t>
        </is>
      </c>
      <c r="K86" s="141" t="inlineStr">
        <is>
          <t>QUANT</t>
        </is>
      </c>
      <c r="L86" s="141" t="n"/>
      <c r="M86" s="141" t="n"/>
    </row>
    <row r="87" ht="8.25" customHeight="1">
      <c r="A87" s="15" t="n"/>
      <c r="B87" s="16" t="n"/>
      <c r="C87" s="39" t="n"/>
      <c r="D87" s="16" t="n"/>
      <c r="E87" s="16" t="n"/>
      <c r="F87" s="159" t="n"/>
      <c r="G87" s="159" t="n"/>
      <c r="H87" s="159" t="n"/>
      <c r="I87" s="159" t="n"/>
      <c r="J87" s="159" t="n"/>
      <c r="K87" s="16" t="n"/>
      <c r="L87" s="16" t="n"/>
      <c r="M87" s="145" t="n"/>
    </row>
    <row r="88" customFormat="1" s="2">
      <c r="A88" s="43" t="inlineStr">
        <is>
          <t>20.0</t>
        </is>
      </c>
      <c r="B88" s="44" t="inlineStr">
        <is>
          <t>MARCENARIA</t>
        </is>
      </c>
      <c r="C88" s="45" t="n"/>
      <c r="D88" s="141" t="inlineStr">
        <is>
          <t>UN</t>
        </is>
      </c>
      <c r="E88" s="141" t="inlineStr">
        <is>
          <t>QUANT</t>
        </is>
      </c>
      <c r="F88" s="142" t="n"/>
      <c r="G88" s="143" t="n"/>
      <c r="H88" s="142" t="n">
        <v>0</v>
      </c>
      <c r="I88" s="144" t="n">
        <v>0</v>
      </c>
      <c r="J88" s="141" t="inlineStr">
        <is>
          <t>UN</t>
        </is>
      </c>
      <c r="K88" s="141" t="inlineStr">
        <is>
          <t>QUANT</t>
        </is>
      </c>
      <c r="L88" s="141" t="n"/>
      <c r="M88" s="141" t="n"/>
    </row>
    <row r="89">
      <c r="A89" s="12" t="n"/>
      <c r="B89" s="7" t="n"/>
      <c r="C89" s="38" t="n"/>
      <c r="D89" s="8" t="n"/>
      <c r="E89" s="155" t="n"/>
      <c r="F89" s="160" t="n"/>
      <c r="G89" s="161" t="n"/>
      <c r="H89" s="146" t="n"/>
      <c r="I89" s="147" t="n"/>
      <c r="J89" s="147" t="n"/>
      <c r="K89" s="155" t="n"/>
      <c r="L89" s="155" t="n"/>
      <c r="M89" s="145" t="n"/>
    </row>
    <row r="90" customFormat="1" s="2">
      <c r="A90" s="43" t="inlineStr">
        <is>
          <t>21.0</t>
        </is>
      </c>
      <c r="B90" s="44" t="inlineStr">
        <is>
          <t>MOBILIÁRIOS</t>
        </is>
      </c>
      <c r="C90" s="45" t="n"/>
      <c r="D90" s="141" t="inlineStr">
        <is>
          <t>UN</t>
        </is>
      </c>
      <c r="E90" s="141" t="inlineStr">
        <is>
          <t>QUANT</t>
        </is>
      </c>
      <c r="F90" s="142" t="n"/>
      <c r="G90" s="143" t="n"/>
      <c r="H90" s="142" t="n">
        <v>0</v>
      </c>
      <c r="I90" s="144" t="n">
        <v>0</v>
      </c>
      <c r="J90" s="141" t="inlineStr">
        <is>
          <t>UN</t>
        </is>
      </c>
      <c r="K90" s="141" t="inlineStr">
        <is>
          <t>QUANT</t>
        </is>
      </c>
      <c r="L90" s="141" t="n"/>
      <c r="M90" s="141" t="n"/>
    </row>
    <row r="91">
      <c r="A91" s="14" t="n"/>
      <c r="B91" s="2" t="n"/>
      <c r="C91" s="40" t="n"/>
      <c r="D91" s="2" t="n"/>
      <c r="E91" s="2" t="n"/>
      <c r="F91" s="162" t="n"/>
      <c r="G91" s="162" t="n"/>
      <c r="H91" s="162" t="n"/>
      <c r="I91" s="162" t="n"/>
      <c r="J91" s="162" t="n"/>
      <c r="K91" s="2" t="n"/>
      <c r="L91" s="2" t="n"/>
      <c r="M91" s="145" t="n"/>
    </row>
    <row r="92">
      <c r="A92" s="43" t="inlineStr">
        <is>
          <t>22.0</t>
        </is>
      </c>
      <c r="B92" s="44" t="inlineStr">
        <is>
          <t xml:space="preserve">ACESSÓRIOS </t>
        </is>
      </c>
      <c r="C92" s="45" t="n"/>
      <c r="D92" s="141" t="inlineStr">
        <is>
          <t>UN</t>
        </is>
      </c>
      <c r="E92" s="141" t="inlineStr">
        <is>
          <t>QUANT</t>
        </is>
      </c>
      <c r="F92" s="142" t="n"/>
      <c r="G92" s="143" t="n"/>
      <c r="H92" s="142" t="n">
        <v>0</v>
      </c>
      <c r="I92" s="144" t="n">
        <v>0</v>
      </c>
      <c r="J92" s="141" t="inlineStr">
        <is>
          <t>UN</t>
        </is>
      </c>
      <c r="K92" s="141" t="inlineStr">
        <is>
          <t>QUANT</t>
        </is>
      </c>
      <c r="L92" s="141" t="n"/>
      <c r="M92" s="141" t="n"/>
    </row>
    <row r="93">
      <c r="A93" s="23" t="n"/>
      <c r="B93" s="5" t="n"/>
      <c r="C93" s="37" t="n"/>
      <c r="D93" s="5" t="n"/>
      <c r="E93" s="5" t="n"/>
      <c r="F93" s="148" t="n"/>
      <c r="G93" s="148" t="n"/>
      <c r="H93" s="148" t="n"/>
      <c r="I93" s="148" t="n"/>
      <c r="J93" s="148" t="n"/>
      <c r="K93" s="5" t="n"/>
      <c r="L93" s="5" t="n"/>
      <c r="M93" s="145" t="n"/>
    </row>
    <row r="94" customFormat="1" s="5">
      <c r="A94" s="43" t="inlineStr">
        <is>
          <t>23.0</t>
        </is>
      </c>
      <c r="B94" s="44" t="inlineStr">
        <is>
          <t>TELHADOS E COBERTURAS</t>
        </is>
      </c>
      <c r="C94" s="45" t="n"/>
      <c r="D94" s="141" t="inlineStr">
        <is>
          <t>UN</t>
        </is>
      </c>
      <c r="E94" s="141" t="inlineStr">
        <is>
          <t>QUANT</t>
        </is>
      </c>
      <c r="F94" s="142" t="n"/>
      <c r="G94" s="143" t="n"/>
      <c r="H94" s="142">
        <f>SUM(H95:H95)</f>
        <v/>
      </c>
      <c r="I94" s="142">
        <f>SUM(I95:I95)</f>
        <v/>
      </c>
      <c r="J94" s="141" t="inlineStr">
        <is>
          <t>UN</t>
        </is>
      </c>
      <c r="K94" s="141" t="inlineStr">
        <is>
          <t>QUANT</t>
        </is>
      </c>
      <c r="L94" s="141" t="n"/>
      <c r="M94" s="141" t="n"/>
    </row>
    <row r="95" ht="409.6" customHeight="1">
      <c r="A95" s="8" t="inlineStr">
        <is>
          <t>23.01</t>
        </is>
      </c>
      <c r="B95" s="65" t="inlineStr">
        <is>
          <t xml:space="preserve">Calhas / Rufos
Fornecimento e montagem + sobreposições + bocais e cabeceiras, em chapa Galvanizada com revestimento em Galvalume, espessura de 0,8mm = chapa 22, com os cortes e desenvolvimentos adequados. Todas as emendas, bocais e cabeceiras serão fixados através de rebites herméticos vedados e as emendas, cabeceiras e bocais soldados com selante em poliuretano com proteção UV de alta performance.
As calhas serão pintadas nas partes externas com tinta fundo para galvanizados e acabamento com esmalte sintética na cor branco.
Condutores de captação das águas das calhas
Colocação de condutores retangulares, quando necessário,  em chapa galvanizada com revestimento em Galvalume, espessura de 0,5mm = chapa 26, na bitola dimencionada em projeto, desde a linha da calha até o piso.
</t>
        </is>
      </c>
      <c r="C95" s="38" t="n"/>
      <c r="D95" s="8" t="inlineStr">
        <is>
          <t>unid.</t>
        </is>
      </c>
      <c r="E95" s="163" t="n">
        <v>220</v>
      </c>
      <c r="F95" s="146" t="n">
        <v>495.47</v>
      </c>
      <c r="G95" s="146" t="n">
        <v>147.79</v>
      </c>
      <c r="H95" s="146">
        <f>F95+G95</f>
        <v/>
      </c>
      <c r="I95" s="147">
        <f>H95*E95</f>
        <v/>
      </c>
      <c r="J95" s="147" t="inlineStr">
        <is>
          <t>unid.</t>
        </is>
      </c>
      <c r="K95" s="164" t="n">
        <v>220</v>
      </c>
      <c r="L95" s="164" t="inlineStr">
        <is>
          <t>160 m de rufo + 60 m de calha + condutores</t>
        </is>
      </c>
      <c r="M95" s="145" t="n"/>
    </row>
    <row r="96">
      <c r="A96" s="15" t="n"/>
      <c r="B96" s="16" t="n"/>
      <c r="C96" s="39" t="n"/>
      <c r="D96" s="16" t="n"/>
      <c r="E96" s="16" t="n"/>
      <c r="F96" s="159" t="n"/>
      <c r="G96" s="159" t="n"/>
      <c r="H96" s="159" t="n"/>
      <c r="I96" s="159" t="n"/>
      <c r="J96" s="159" t="n"/>
      <c r="K96" s="16" t="n"/>
      <c r="L96" s="16" t="n"/>
      <c r="M96" s="145" t="n"/>
    </row>
    <row r="97" customFormat="1" s="2">
      <c r="A97" s="43" t="inlineStr">
        <is>
          <t>24.0</t>
        </is>
      </c>
      <c r="B97" s="44" t="inlineStr">
        <is>
          <t>OMISSOS</t>
        </is>
      </c>
      <c r="C97" s="45" t="n"/>
      <c r="D97" s="141" t="inlineStr">
        <is>
          <t>UN</t>
        </is>
      </c>
      <c r="E97" s="141" t="inlineStr">
        <is>
          <t>QUANT</t>
        </is>
      </c>
      <c r="F97" s="142" t="n"/>
      <c r="G97" s="143" t="n"/>
      <c r="H97" s="142">
        <f>SUM(H98:H112)</f>
        <v/>
      </c>
      <c r="I97" s="144">
        <f>SUM(I98:I112)</f>
        <v/>
      </c>
      <c r="J97" s="141" t="inlineStr">
        <is>
          <t>UN</t>
        </is>
      </c>
      <c r="K97" s="141" t="inlineStr">
        <is>
          <t>QUANT</t>
        </is>
      </c>
      <c r="L97" s="141" t="n"/>
      <c r="M97" s="141" t="n"/>
    </row>
    <row r="98" customFormat="1" s="2">
      <c r="A98" s="126" t="inlineStr">
        <is>
          <t>24.01</t>
        </is>
      </c>
      <c r="B98" s="10" t="inlineStr">
        <is>
          <t>Desinstalação e reinstalação de condensadoras de ar condicionado (recolhimento de gás, tubulação, suportes e recarga)</t>
        </is>
      </c>
      <c r="C98" s="62" t="n"/>
      <c r="D98" s="8" t="inlineStr">
        <is>
          <t>unid.</t>
        </is>
      </c>
      <c r="E98" s="145" t="n">
        <v>10</v>
      </c>
      <c r="F98" s="146" t="n">
        <v>916.24</v>
      </c>
      <c r="G98" s="146" t="n">
        <v>1570.69</v>
      </c>
      <c r="H98" s="146">
        <f>F98+G98</f>
        <v/>
      </c>
      <c r="I98" s="147">
        <f>H98*E98</f>
        <v/>
      </c>
      <c r="J98" s="147" t="inlineStr">
        <is>
          <t>unid.</t>
        </is>
      </c>
      <c r="K98" s="151" t="n">
        <v>10</v>
      </c>
      <c r="L98" s="151" t="inlineStr">
        <is>
          <t>Item acrescentado pela construtora</t>
        </is>
      </c>
      <c r="M98" s="145" t="n"/>
    </row>
    <row r="99" customFormat="1" s="2">
      <c r="A99" s="126" t="inlineStr">
        <is>
          <t>24.02</t>
        </is>
      </c>
      <c r="B99" s="10" t="inlineStr">
        <is>
          <t>Rufo estacionamento em chapa galvalume #22 – com material e mão de obra</t>
        </is>
      </c>
      <c r="C99" s="62" t="n"/>
      <c r="D99" s="8" t="inlineStr">
        <is>
          <t>m</t>
        </is>
      </c>
      <c r="E99" s="145" t="n">
        <v>37</v>
      </c>
      <c r="F99" s="146" t="n">
        <v>269.92</v>
      </c>
      <c r="G99" s="146" t="n">
        <v>104.71</v>
      </c>
      <c r="H99" s="146">
        <f>F99+G99</f>
        <v/>
      </c>
      <c r="I99" s="147">
        <f>H99*E99</f>
        <v/>
      </c>
      <c r="J99" s="147" t="inlineStr">
        <is>
          <t>m</t>
        </is>
      </c>
      <c r="K99" s="151" t="n">
        <v>37</v>
      </c>
      <c r="L99" s="151" t="inlineStr">
        <is>
          <t>Item acrescentado pela construtora</t>
        </is>
      </c>
      <c r="M99" s="145" t="n"/>
    </row>
    <row r="100" customFormat="1" s="2">
      <c r="A100" s="126" t="inlineStr">
        <is>
          <t>24.03</t>
        </is>
      </c>
      <c r="B100" s="10" t="inlineStr">
        <is>
          <t>Remoção da tubulação pluvial existente (manilha de barro) e substituição por PVC série R 100 mm – 10 descidas (3 barras de 6 m cada)</t>
        </is>
      </c>
      <c r="C100" s="62" t="n"/>
      <c r="D100" s="8" t="inlineStr">
        <is>
          <t>vb</t>
        </is>
      </c>
      <c r="E100" s="145" t="n">
        <v>1</v>
      </c>
      <c r="F100" s="146" t="n">
        <v>20471.32</v>
      </c>
      <c r="G100" s="146" t="n">
        <v>26178.16</v>
      </c>
      <c r="H100" s="146">
        <f>F100+G100</f>
        <v/>
      </c>
      <c r="I100" s="147">
        <f>H100*E100</f>
        <v/>
      </c>
      <c r="J100" s="147" t="inlineStr">
        <is>
          <t>vb</t>
        </is>
      </c>
      <c r="K100" s="151" t="n">
        <v>1</v>
      </c>
      <c r="L100" s="151" t="inlineStr">
        <is>
          <t>Item acrescentado pela construtora</t>
        </is>
      </c>
      <c r="M100" s="145" t="n"/>
    </row>
    <row r="101" customFormat="1" s="2">
      <c r="A101" s="126" t="inlineStr">
        <is>
          <t>24.04</t>
        </is>
      </c>
      <c r="B101" s="10" t="inlineStr">
        <is>
          <t>Tratamento e limpeza da laje da torre</t>
        </is>
      </c>
      <c r="C101" s="62" t="n"/>
      <c r="D101" s="8" t="inlineStr">
        <is>
          <t>vb</t>
        </is>
      </c>
      <c r="E101" s="145" t="n">
        <v>1</v>
      </c>
      <c r="F101" s="146" t="n">
        <v>1308.91</v>
      </c>
      <c r="G101" s="146" t="n">
        <v>7853.45</v>
      </c>
      <c r="H101" s="146">
        <f>F101+G101</f>
        <v/>
      </c>
      <c r="I101" s="147">
        <f>H101*E101</f>
        <v/>
      </c>
      <c r="J101" s="147" t="inlineStr">
        <is>
          <t>vb</t>
        </is>
      </c>
      <c r="K101" s="151" t="n">
        <v>1</v>
      </c>
      <c r="L101" s="151" t="inlineStr">
        <is>
          <t>Item acrescentado pela construtora</t>
        </is>
      </c>
      <c r="M101" s="145" t="n"/>
    </row>
    <row r="102" customFormat="1" s="2">
      <c r="A102" s="126" t="inlineStr">
        <is>
          <t>24.05</t>
        </is>
      </c>
      <c r="B102" s="10" t="inlineStr">
        <is>
          <t>Desmontagem e remontagem de plataforma de acesso às condensadoras (área externa dos alunos), inclusive pintura</t>
        </is>
      </c>
      <c r="C102" s="62" t="n"/>
      <c r="D102" s="8" t="inlineStr">
        <is>
          <t>vb</t>
        </is>
      </c>
      <c r="E102" s="145" t="n">
        <v>1</v>
      </c>
      <c r="F102" s="146" t="n">
        <v>3926.72</v>
      </c>
      <c r="G102" s="146" t="n">
        <v>10471.26</v>
      </c>
      <c r="H102" s="146">
        <f>F102+G102</f>
        <v/>
      </c>
      <c r="I102" s="147">
        <f>H102*E102</f>
        <v/>
      </c>
      <c r="J102" s="147" t="inlineStr">
        <is>
          <t>vb</t>
        </is>
      </c>
      <c r="K102" s="151" t="n">
        <v>1</v>
      </c>
      <c r="L102" s="151" t="inlineStr">
        <is>
          <t>Item acrescentado pela construtora</t>
        </is>
      </c>
      <c r="M102" s="145" t="n"/>
    </row>
    <row r="103" customFormat="1" s="2">
      <c r="A103" s="126" t="inlineStr">
        <is>
          <t>24.06</t>
        </is>
      </c>
      <c r="B103" s="10" t="inlineStr">
        <is>
          <t>Restauração da cruz existente no topo da torre (tratamento de corrosão, massa epóxi, fundo e pintura)</t>
        </is>
      </c>
      <c r="C103" s="62" t="n"/>
      <c r="D103" s="8" t="inlineStr">
        <is>
          <t>vb</t>
        </is>
      </c>
      <c r="E103" s="145" t="n">
        <v>1</v>
      </c>
      <c r="F103" s="146" t="n">
        <v>2094.25</v>
      </c>
      <c r="G103" s="146" t="n">
        <v>6544.54</v>
      </c>
      <c r="H103" s="146">
        <f>F103+G103</f>
        <v/>
      </c>
      <c r="I103" s="147">
        <f>H103*E103</f>
        <v/>
      </c>
      <c r="J103" s="147" t="inlineStr">
        <is>
          <t>vb</t>
        </is>
      </c>
      <c r="K103" s="151" t="n">
        <v>1</v>
      </c>
      <c r="L103" s="151" t="inlineStr">
        <is>
          <t>Item acrescentado pela construtora</t>
        </is>
      </c>
      <c r="M103" s="145" t="n"/>
    </row>
    <row r="104" customFormat="1" s="2">
      <c r="A104" s="126" t="inlineStr">
        <is>
          <t>24.07</t>
        </is>
      </c>
      <c r="B104" s="10" t="inlineStr">
        <is>
          <t>Demolição e execução de forro em drywall RU</t>
        </is>
      </c>
      <c r="C104" s="62" t="n"/>
      <c r="D104" s="8" t="inlineStr">
        <is>
          <t>m²</t>
        </is>
      </c>
      <c r="E104" s="145" t="n">
        <v>80</v>
      </c>
      <c r="F104" s="146" t="n">
        <v>204.19</v>
      </c>
      <c r="G104" s="146" t="n">
        <v>136.13</v>
      </c>
      <c r="H104" s="146">
        <f>F104+G104</f>
        <v/>
      </c>
      <c r="I104" s="147">
        <f>H104*E104</f>
        <v/>
      </c>
      <c r="J104" s="147" t="inlineStr">
        <is>
          <t>m²</t>
        </is>
      </c>
      <c r="K104" s="151" t="n">
        <v>80</v>
      </c>
      <c r="L104" s="151" t="inlineStr">
        <is>
          <t>Item acrescentado pela construtora</t>
        </is>
      </c>
      <c r="M104" s="145" t="n"/>
    </row>
    <row r="105" customFormat="1" s="2">
      <c r="A105" s="126" t="inlineStr">
        <is>
          <t>24.08</t>
        </is>
      </c>
      <c r="B105" s="10" t="inlineStr">
        <is>
          <t>Remoção de moldura/peitoril existente</t>
        </is>
      </c>
      <c r="C105" s="62" t="n"/>
      <c r="D105" s="8" t="inlineStr">
        <is>
          <t>ml</t>
        </is>
      </c>
      <c r="E105" s="145" t="n">
        <v>1269</v>
      </c>
      <c r="F105" s="146" t="n">
        <v>0</v>
      </c>
      <c r="G105" s="146" t="n">
        <v>26.18</v>
      </c>
      <c r="H105" s="146">
        <f>F105+G105</f>
        <v/>
      </c>
      <c r="I105" s="147">
        <f>H105*E105</f>
        <v/>
      </c>
      <c r="J105" s="147" t="inlineStr">
        <is>
          <t>ml</t>
        </is>
      </c>
      <c r="K105" s="151" t="n">
        <v>1269</v>
      </c>
      <c r="L105" s="151" t="inlineStr">
        <is>
          <t>Item acrescentado pela construtora</t>
        </is>
      </c>
      <c r="M105" s="145" t="n"/>
    </row>
    <row r="106" customFormat="1" s="2">
      <c r="A106" s="126" t="inlineStr">
        <is>
          <t>24.09</t>
        </is>
      </c>
      <c r="B106" s="10" t="inlineStr">
        <is>
          <t>Locação de andaime fachadeiro (montagem, desmontagem e tela) e plataformas elevatórias articulada e tesoura (com frete)</t>
        </is>
      </c>
      <c r="C106" s="62" t="n"/>
      <c r="D106" s="8" t="inlineStr">
        <is>
          <t>vb</t>
        </is>
      </c>
      <c r="E106" s="145" t="n">
        <v>1</v>
      </c>
      <c r="F106" s="146" t="n">
        <v>535065.79</v>
      </c>
      <c r="G106" s="146" t="n">
        <v>0</v>
      </c>
      <c r="H106" s="146">
        <f>F106+G106</f>
        <v/>
      </c>
      <c r="I106" s="147">
        <f>H106*E106</f>
        <v/>
      </c>
      <c r="J106" s="147" t="inlineStr">
        <is>
          <t>vb</t>
        </is>
      </c>
      <c r="K106" s="151" t="n">
        <v>1</v>
      </c>
      <c r="L106" s="151" t="inlineStr">
        <is>
          <t>Item acrescentado pela construtora</t>
        </is>
      </c>
      <c r="M106" s="145" t="n"/>
    </row>
    <row r="107" customFormat="1" s="2">
      <c r="A107" s="126" t="inlineStr">
        <is>
          <t>24.10</t>
        </is>
      </c>
      <c r="B107" s="10" t="inlineStr">
        <is>
          <t>Demolição e execução de pingadeiras (soleiras) de janelas em granito/mármore com friso – 130 peças</t>
        </is>
      </c>
      <c r="C107" s="62" t="n"/>
      <c r="D107" s="8" t="inlineStr">
        <is>
          <t>ml</t>
        </is>
      </c>
      <c r="E107" s="145" t="n">
        <v>212</v>
      </c>
      <c r="F107" s="146" t="n">
        <v>229.55</v>
      </c>
      <c r="G107" s="146" t="n">
        <v>143.98</v>
      </c>
      <c r="H107" s="146">
        <f>F107+G107</f>
        <v/>
      </c>
      <c r="I107" s="147">
        <f>H107*E107</f>
        <v/>
      </c>
      <c r="J107" s="147" t="inlineStr">
        <is>
          <t>ml</t>
        </is>
      </c>
      <c r="K107" s="151" t="n">
        <v>212</v>
      </c>
      <c r="L107" s="151" t="inlineStr">
        <is>
          <t>Item acrescentado pela construtora</t>
        </is>
      </c>
      <c r="M107" s="145" t="n"/>
    </row>
    <row r="108" customFormat="1" s="2">
      <c r="A108" s="126" t="inlineStr">
        <is>
          <t>24.11</t>
        </is>
      </c>
      <c r="B108" s="10" t="inlineStr">
        <is>
          <t>Soleira do muro de vidro (Rua Ranulfo) em granito/mármore – tampo 55 m + espelho 110 m</t>
        </is>
      </c>
      <c r="C108" s="62" t="n"/>
      <c r="D108" s="8" t="inlineStr">
        <is>
          <t>ml</t>
        </is>
      </c>
      <c r="E108" s="145" t="n">
        <v>165</v>
      </c>
      <c r="F108" s="146" t="n">
        <v>126.53</v>
      </c>
      <c r="G108" s="146" t="n">
        <v>104.71</v>
      </c>
      <c r="H108" s="146">
        <f>F108+G108</f>
        <v/>
      </c>
      <c r="I108" s="147">
        <f>H108*E108</f>
        <v/>
      </c>
      <c r="J108" s="147" t="inlineStr">
        <is>
          <t>ml</t>
        </is>
      </c>
      <c r="K108" s="151" t="n">
        <v>165</v>
      </c>
      <c r="L108" s="151" t="inlineStr">
        <is>
          <t>Item acrescentado pela construtora</t>
        </is>
      </c>
      <c r="M108" s="145" t="n"/>
    </row>
    <row r="109" customFormat="1" s="2">
      <c r="A109" s="126" t="inlineStr">
        <is>
          <t>24.12</t>
        </is>
      </c>
      <c r="B109" s="10" t="inlineStr">
        <is>
          <t>EPI, EPC e treinamentos NR-35/NR-18 da equipe</t>
        </is>
      </c>
      <c r="C109" s="62" t="n"/>
      <c r="D109" s="8" t="inlineStr">
        <is>
          <t>vb</t>
        </is>
      </c>
      <c r="E109" s="145" t="n">
        <v>1</v>
      </c>
      <c r="F109" s="146" t="n">
        <v>68848.55</v>
      </c>
      <c r="G109" s="146" t="n">
        <v>0</v>
      </c>
      <c r="H109" s="146">
        <f>F109+G109</f>
        <v/>
      </c>
      <c r="I109" s="147">
        <f>H109*E109</f>
        <v/>
      </c>
      <c r="J109" s="147" t="inlineStr">
        <is>
          <t>vb</t>
        </is>
      </c>
      <c r="K109" s="151" t="n">
        <v>1</v>
      </c>
      <c r="L109" s="151" t="inlineStr">
        <is>
          <t>Item acrescentado pela construtora</t>
        </is>
      </c>
      <c r="M109" s="145" t="n"/>
    </row>
    <row r="110" customFormat="1" s="2">
      <c r="A110" s="126" t="inlineStr">
        <is>
          <t>24.13</t>
        </is>
      </c>
      <c r="B110" s="10" t="inlineStr">
        <is>
          <t>Moldura cimentícia EPS 170×50 mm na platibanda – Vista 06 (inclusive pintura cinza médio)</t>
        </is>
      </c>
      <c r="C110" s="62" t="n"/>
      <c r="D110" s="8" t="inlineStr">
        <is>
          <t>ml</t>
        </is>
      </c>
      <c r="E110" s="145" t="n">
        <v>17</v>
      </c>
      <c r="F110" s="146" t="n">
        <v>117.8</v>
      </c>
      <c r="G110" s="146" t="n">
        <v>65.45</v>
      </c>
      <c r="H110" s="146">
        <f>F110+G110</f>
        <v/>
      </c>
      <c r="I110" s="147">
        <f>H110*E110</f>
        <v/>
      </c>
      <c r="J110" s="147" t="inlineStr">
        <is>
          <t>ml</t>
        </is>
      </c>
      <c r="K110" s="151" t="n">
        <v>17</v>
      </c>
      <c r="L110" s="151" t="inlineStr">
        <is>
          <t>Item acrescentado pela construtora</t>
        </is>
      </c>
      <c r="M110" s="145" t="n"/>
    </row>
    <row r="111" customFormat="1" s="2">
      <c r="A111" s="126" t="inlineStr">
        <is>
          <t>24.14</t>
        </is>
      </c>
      <c r="B111" s="10" t="inlineStr">
        <is>
          <t>Vista 06: estrutura metálica com chapa lisa (DET.07) + manutenção e pintura da passarela metálica e do rufo existentes</t>
        </is>
      </c>
      <c r="C111" s="62" t="n"/>
      <c r="D111" s="8" t="inlineStr">
        <is>
          <t>vb</t>
        </is>
      </c>
      <c r="E111" s="145" t="n">
        <v>1</v>
      </c>
      <c r="F111" s="146" t="n">
        <v>6544.54</v>
      </c>
      <c r="G111" s="146" t="n">
        <v>9162.35</v>
      </c>
      <c r="H111" s="146">
        <f>F111+G111</f>
        <v/>
      </c>
      <c r="I111" s="147">
        <f>H111*E111</f>
        <v/>
      </c>
      <c r="J111" s="147" t="inlineStr">
        <is>
          <t>vb</t>
        </is>
      </c>
      <c r="K111" s="151" t="n">
        <v>1</v>
      </c>
      <c r="L111" s="151" t="inlineStr">
        <is>
          <t>Item acrescentado pela construtora</t>
        </is>
      </c>
      <c r="M111" s="145" t="n"/>
    </row>
    <row r="112">
      <c r="A112" s="14" t="n"/>
      <c r="B112" s="2" t="n"/>
      <c r="C112" s="40" t="n"/>
      <c r="D112" s="2" t="n"/>
      <c r="E112" s="2" t="n"/>
      <c r="F112" s="162" t="n"/>
      <c r="G112" s="162" t="n"/>
      <c r="H112" s="162" t="n"/>
      <c r="I112" s="162" t="n"/>
      <c r="J112" s="162" t="n"/>
      <c r="K112" s="2" t="n"/>
      <c r="L112" s="2" t="n"/>
      <c r="M112" s="145" t="n"/>
    </row>
    <row r="113" ht="24" customHeight="1">
      <c r="A113" s="43" t="inlineStr">
        <is>
          <t>25.0</t>
        </is>
      </c>
      <c r="B113" s="44" t="inlineStr">
        <is>
          <t>LIMPEZA</t>
        </is>
      </c>
      <c r="C113" s="45" t="n"/>
      <c r="D113" s="141" t="inlineStr">
        <is>
          <t>UN</t>
        </is>
      </c>
      <c r="E113" s="141" t="inlineStr">
        <is>
          <t>QUANT</t>
        </is>
      </c>
      <c r="F113" s="142" t="n"/>
      <c r="G113" s="143" t="n"/>
      <c r="H113" s="142">
        <f>SUM(H114:H116)</f>
        <v/>
      </c>
      <c r="I113" s="144">
        <f>SUM(I114:I116)</f>
        <v/>
      </c>
      <c r="J113" s="141" t="inlineStr">
        <is>
          <t>UN</t>
        </is>
      </c>
      <c r="K113" s="141" t="inlineStr">
        <is>
          <t>QUANT</t>
        </is>
      </c>
      <c r="L113" s="141" t="n"/>
      <c r="M113" s="141" t="n"/>
    </row>
    <row r="114" ht="30" customHeight="1">
      <c r="A114" s="8" t="inlineStr">
        <is>
          <t>25.01</t>
        </is>
      </c>
      <c r="B114" s="7" t="inlineStr">
        <is>
          <t>Limpeza diária e Limpeza final da obra</t>
        </is>
      </c>
      <c r="C114" s="67" t="inlineStr">
        <is>
          <t>considerar todas as áreas de intervenção e halls de escada;</t>
        </is>
      </c>
      <c r="D114" s="8" t="inlineStr">
        <is>
          <t>vb</t>
        </is>
      </c>
      <c r="E114" s="145" t="n">
        <v>1</v>
      </c>
      <c r="F114" s="146" t="n">
        <v>2617.82</v>
      </c>
      <c r="G114" s="146" t="n">
        <v>20942.52</v>
      </c>
      <c r="H114" s="146">
        <f>F114+G114</f>
        <v/>
      </c>
      <c r="I114" s="147">
        <f>H114*E114</f>
        <v/>
      </c>
      <c r="J114" s="147" t="inlineStr">
        <is>
          <t>vb</t>
        </is>
      </c>
      <c r="K114" s="145" t="n">
        <v>1</v>
      </c>
      <c r="L114" s="145" t="n"/>
      <c r="M114" s="145" t="n"/>
    </row>
    <row r="115">
      <c r="A115" s="8" t="inlineStr">
        <is>
          <t>25.02</t>
        </is>
      </c>
      <c r="B115" s="7" t="inlineStr">
        <is>
          <t>Tapume de Proteção</t>
        </is>
      </c>
      <c r="C115" s="36" t="n"/>
      <c r="D115" s="8" t="inlineStr">
        <is>
          <t>vb</t>
        </is>
      </c>
      <c r="E115" s="145" t="n">
        <v>1</v>
      </c>
      <c r="F115" s="146" t="n">
        <v>15392.76</v>
      </c>
      <c r="G115" s="146" t="n">
        <v>3926.72</v>
      </c>
      <c r="H115" s="146">
        <f>F115+G115</f>
        <v/>
      </c>
      <c r="I115" s="147">
        <f>H115*E115</f>
        <v/>
      </c>
      <c r="J115" s="147" t="inlineStr">
        <is>
          <t>vb</t>
        </is>
      </c>
      <c r="K115" s="145" t="n">
        <v>1</v>
      </c>
      <c r="L115" s="145" t="n"/>
      <c r="M115" s="145" t="n"/>
    </row>
    <row r="116">
      <c r="A116" s="8" t="inlineStr">
        <is>
          <t>25.03</t>
        </is>
      </c>
      <c r="B116" s="7" t="inlineStr">
        <is>
          <t>Lona plástica</t>
        </is>
      </c>
      <c r="C116" s="10" t="n"/>
      <c r="D116" s="8" t="inlineStr">
        <is>
          <t>vb</t>
        </is>
      </c>
      <c r="E116" s="145" t="n">
        <v>1</v>
      </c>
      <c r="F116" s="146" t="n">
        <v>4560.23</v>
      </c>
      <c r="G116" s="146" t="n">
        <v>0</v>
      </c>
      <c r="H116" s="146">
        <f>F116+G116</f>
        <v/>
      </c>
      <c r="I116" s="147">
        <f>H116*E116</f>
        <v/>
      </c>
      <c r="J116" s="147" t="inlineStr">
        <is>
          <t>vb</t>
        </is>
      </c>
      <c r="K116" s="145" t="n">
        <v>1</v>
      </c>
      <c r="L116" s="145" t="n"/>
      <c r="M116" s="145" t="n"/>
    </row>
    <row r="117">
      <c r="A117" s="165" t="inlineStr">
        <is>
          <t>TOTAL</t>
        </is>
      </c>
      <c r="B117" s="130" t="n"/>
      <c r="C117" s="130" t="n"/>
      <c r="D117" s="130" t="n"/>
      <c r="E117" s="130" t="n"/>
      <c r="F117" s="130" t="n"/>
      <c r="G117" s="130" t="n"/>
      <c r="H117" s="131" t="n"/>
      <c r="I117" s="144">
        <f>SUM(I16:I116)/2</f>
        <v/>
      </c>
      <c r="J117" s="144" t="n"/>
      <c r="K117" s="141" t="n"/>
      <c r="L117" s="141" t="n"/>
      <c r="M117" s="141" t="n"/>
    </row>
    <row r="118">
      <c r="A118" s="166" t="inlineStr">
        <is>
          <t xml:space="preserve">Desconto comercial </t>
        </is>
      </c>
      <c r="B118" s="130" t="n"/>
      <c r="C118" s="130" t="n"/>
      <c r="D118" s="130" t="n"/>
      <c r="E118" s="130" t="n"/>
      <c r="F118" s="130" t="n"/>
      <c r="G118" s="130" t="n"/>
      <c r="H118" s="131" t="n"/>
      <c r="I118" s="167" t="n">
        <v>0</v>
      </c>
      <c r="J118" s="167" t="n"/>
      <c r="K118" s="167" t="n"/>
      <c r="L118" s="167" t="n"/>
      <c r="M118" s="167" t="n"/>
    </row>
    <row r="119">
      <c r="A119" s="165" t="inlineStr">
        <is>
          <t>TOTAL GERAL</t>
        </is>
      </c>
      <c r="B119" s="130" t="n"/>
      <c r="C119" s="130" t="n"/>
      <c r="D119" s="130" t="n"/>
      <c r="E119" s="130" t="n"/>
      <c r="F119" s="130" t="n"/>
      <c r="G119" s="130" t="n"/>
      <c r="H119" s="131" t="n"/>
      <c r="I119" s="144">
        <f>I117+I118</f>
        <v/>
      </c>
      <c r="J119" s="144" t="n"/>
      <c r="K119" s="141" t="n"/>
      <c r="L119" s="141" t="n"/>
      <c r="M119" s="141" t="n"/>
    </row>
    <row r="120">
      <c r="A120" s="2" t="n"/>
      <c r="B120" s="5" t="n"/>
      <c r="C120" s="1" t="n"/>
      <c r="D120" s="2" t="n"/>
      <c r="E120" s="3" t="n"/>
      <c r="F120" s="4" t="n"/>
      <c r="G120" s="4" t="n"/>
      <c r="H120" s="4" t="n"/>
      <c r="I120" s="4" t="n"/>
      <c r="J120" s="4" t="n"/>
      <c r="K120" s="3" t="n"/>
      <c r="L120" s="3" t="n"/>
    </row>
    <row r="121">
      <c r="A121" s="104" t="inlineStr">
        <is>
          <t>OBSERVAÇÕES:</t>
        </is>
      </c>
      <c r="B121" s="168" t="n"/>
      <c r="C121" s="168" t="n"/>
      <c r="D121" s="168" t="n"/>
      <c r="E121" s="168" t="n"/>
      <c r="F121" s="168" t="n"/>
      <c r="G121" s="168" t="n"/>
      <c r="H121" s="168" t="n"/>
      <c r="I121" s="168" t="n"/>
      <c r="J121" s="105" t="n"/>
      <c r="K121" s="104" t="n"/>
      <c r="L121" s="168" t="n"/>
      <c r="M121" s="168" t="n"/>
    </row>
    <row r="122">
      <c r="A122" s="106" t="inlineStr">
        <is>
          <t>Considerações:</t>
        </is>
      </c>
      <c r="B122" s="169" t="n"/>
      <c r="C122" s="169" t="n"/>
      <c r="D122" s="169" t="n"/>
      <c r="E122" s="169" t="n"/>
      <c r="F122" s="169" t="n"/>
      <c r="G122" s="169" t="n"/>
      <c r="H122" s="169" t="n"/>
      <c r="I122" s="169" t="n"/>
      <c r="J122" s="107" t="n"/>
      <c r="K122" s="106" t="n"/>
      <c r="L122" s="169" t="n"/>
      <c r="M122" s="169" t="n"/>
    </row>
    <row r="123">
      <c r="A123" s="108" t="inlineStr">
        <is>
          <t>1 - Seguir Projeto - (Colocar no projeto as especificações de data do planejamento e número da Revisão);</t>
        </is>
      </c>
      <c r="B123" s="170" t="n"/>
      <c r="C123" s="170" t="n"/>
      <c r="D123" s="170" t="n"/>
      <c r="E123" s="170" t="n"/>
      <c r="F123" s="170" t="n"/>
      <c r="G123" s="170" t="n"/>
      <c r="H123" s="170" t="n"/>
      <c r="I123" s="170" t="n"/>
      <c r="J123" s="75" t="n"/>
      <c r="K123" s="106" t="n"/>
      <c r="L123" s="169" t="n"/>
      <c r="M123" s="169" t="n"/>
    </row>
    <row r="124">
      <c r="A124" s="108" t="inlineStr">
        <is>
          <t>2 - Todas as medidas e itens deverão ser confirmadas durante a visita in loco pela empresa participante;</t>
        </is>
      </c>
      <c r="B124" s="170" t="n"/>
      <c r="C124" s="170" t="n"/>
      <c r="D124" s="170" t="n"/>
      <c r="E124" s="170" t="n"/>
      <c r="F124" s="170" t="n"/>
      <c r="G124" s="170" t="n"/>
      <c r="H124" s="170" t="n"/>
      <c r="I124" s="170" t="n"/>
      <c r="J124" s="75" t="n"/>
      <c r="K124" s="106" t="n"/>
      <c r="L124" s="169" t="n"/>
      <c r="M124" s="169" t="n"/>
    </row>
    <row r="125">
      <c r="A125" s="108" t="inlineStr">
        <is>
          <t>3 - Caso algum item especifico do contratado não esteja na planilha, favor colocar em omissos;</t>
        </is>
      </c>
      <c r="B125" s="170" t="n"/>
      <c r="C125" s="170" t="n"/>
      <c r="D125" s="170" t="n"/>
      <c r="E125" s="170" t="n"/>
      <c r="F125" s="170" t="n"/>
      <c r="G125" s="170" t="n"/>
      <c r="H125" s="170" t="n"/>
      <c r="I125" s="170" t="n"/>
      <c r="J125" s="75" t="n"/>
      <c r="K125" s="106" t="n"/>
      <c r="L125" s="169" t="n"/>
      <c r="M125" s="169" t="n"/>
    </row>
    <row r="126">
      <c r="A126" s="108" t="inlineStr">
        <is>
          <t>4 - As correções realizadas no escopo devem ser acrescentadas nos itens pré-definidos;</t>
        </is>
      </c>
      <c r="B126" s="170" t="n"/>
      <c r="C126" s="170" t="n"/>
      <c r="D126" s="170" t="n"/>
      <c r="E126" s="170" t="n"/>
      <c r="F126" s="170" t="n"/>
      <c r="G126" s="170" t="n"/>
      <c r="H126" s="170" t="n"/>
      <c r="I126" s="170" t="n"/>
      <c r="J126" s="75" t="n"/>
      <c r="K126" s="106" t="n"/>
      <c r="L126" s="169" t="n"/>
      <c r="M126" s="169" t="n"/>
    </row>
    <row r="127">
      <c r="A127" s="113" t="inlineStr">
        <is>
          <t>5 - O local será liberado de seg. à sexta das 07h às 22h00 e aos sábados das 07h00 as 17h00, conforme disponibilidade de não aula</t>
        </is>
      </c>
      <c r="B127" s="170" t="n"/>
      <c r="C127" s="170" t="n"/>
      <c r="D127" s="170" t="n"/>
      <c r="E127" s="170" t="n"/>
      <c r="F127" s="170" t="n"/>
      <c r="G127" s="170" t="n"/>
      <c r="H127" s="170" t="n"/>
      <c r="I127" s="170" t="n"/>
      <c r="J127" s="75" t="n"/>
      <c r="K127" s="106" t="n"/>
      <c r="L127" s="169" t="n"/>
      <c r="M127" s="169" t="n"/>
    </row>
    <row r="128">
      <c r="A128" s="99" t="n"/>
      <c r="B128" s="170" t="n"/>
      <c r="C128" s="170" t="n"/>
      <c r="D128" s="170" t="n"/>
      <c r="E128" s="170" t="n"/>
      <c r="F128" s="170" t="n"/>
      <c r="G128" s="170" t="n"/>
      <c r="H128" s="170" t="n"/>
      <c r="I128" s="170" t="n"/>
      <c r="J128" s="76" t="n"/>
      <c r="K128" s="106" t="n"/>
      <c r="L128" s="169" t="n"/>
      <c r="M128" s="169" t="n"/>
    </row>
  </sheetData>
  <mergeCells count="45">
    <mergeCell ref="D11:F11"/>
    <mergeCell ref="A128:I128"/>
    <mergeCell ref="G10:I10"/>
    <mergeCell ref="G6:I6"/>
    <mergeCell ref="J14:K14"/>
    <mergeCell ref="E13:E14"/>
    <mergeCell ref="G3:I3"/>
    <mergeCell ref="D7:F7"/>
    <mergeCell ref="J13:K13"/>
    <mergeCell ref="A119:H119"/>
    <mergeCell ref="G5:I5"/>
    <mergeCell ref="B13:B14"/>
    <mergeCell ref="F13:H13"/>
    <mergeCell ref="D13:D14"/>
    <mergeCell ref="D4:F4"/>
    <mergeCell ref="A126:I126"/>
    <mergeCell ref="G8:I9"/>
    <mergeCell ref="D9:F9"/>
    <mergeCell ref="A122:I122"/>
    <mergeCell ref="A118:H118"/>
    <mergeCell ref="D3:F3"/>
    <mergeCell ref="D8:F8"/>
    <mergeCell ref="G4:I4"/>
    <mergeCell ref="A125:I125"/>
    <mergeCell ref="K125:M125"/>
    <mergeCell ref="A121:I121"/>
    <mergeCell ref="D5:F5"/>
    <mergeCell ref="A13:A14"/>
    <mergeCell ref="K128:M128"/>
    <mergeCell ref="K124:M124"/>
    <mergeCell ref="A127:I127"/>
    <mergeCell ref="K127:M127"/>
    <mergeCell ref="K121:M121"/>
    <mergeCell ref="C13:C14"/>
    <mergeCell ref="G11:I11"/>
    <mergeCell ref="D10:F10"/>
    <mergeCell ref="K123:M123"/>
    <mergeCell ref="A123:I123"/>
    <mergeCell ref="D6:F6"/>
    <mergeCell ref="J11:M11"/>
    <mergeCell ref="K126:M126"/>
    <mergeCell ref="A124:I124"/>
    <mergeCell ref="A117:H117"/>
    <mergeCell ref="G7:I7"/>
    <mergeCell ref="K122:M122"/>
  </mergeCells>
  <dataValidations disablePrompts="1" count="1">
    <dataValidation sqref="G11:I11" showDropDown="0" showInputMessage="1" showErrorMessage="1" allowBlank="1" errorTitle="Garantia" error="O prazo de garantia deverá ser conforme legislação vigente." promptTitle="Garantia" prompt="PREENCHIMENTO OBRIGATÓRIO" type="list" operator="notBetween">
      <formula1>"Conforme legislação vigente"</formula1>
    </dataValidation>
  </dataValidations>
  <printOptions horizontalCentered="1"/>
  <pageMargins left="0.1968503937007874" right="0.1968503937007874" top="0.3937007874015748" bottom="0.3937007874015748" header="0.5118110236220472" footer="0"/>
  <pageSetup orientation="landscape" paperSize="9" scale="69" fitToHeight="0" horizontalDpi="4294967293"/>
  <rowBreaks count="1" manualBreakCount="1">
    <brk id="91" min="0" max="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</dc:creator>
  <dcterms:created xsi:type="dcterms:W3CDTF">2013-01-30T14:00:10Z</dcterms:created>
  <dcterms:modified xsi:type="dcterms:W3CDTF">2026-10-08T20:58:05Z</dcterms:modified>
  <cp:lastModifiedBy>Thais da Silva Dias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0x01010047AFCE9B72661E419FEA509887F2D522</vt:lpwstr>
  </property>
  <property name="Order" fmtid="{D5CDD505-2E9C-101B-9397-08002B2CF9AE}" pid="3">
    <vt:r8>663400</vt:r8>
  </property>
  <property name="_dlc_DocIdItemGuid" fmtid="{D5CDD505-2E9C-101B-9397-08002B2CF9AE}" pid="4">
    <vt:lpwstr>7f05de26-0e7f-46c7-b9d8-ac9d6e88b5e4</vt:lpwstr>
  </property>
  <property name="xd_Signature" fmtid="{D5CDD505-2E9C-101B-9397-08002B2CF9AE}" pid="5">
    <vt:bool>0</vt:bool>
  </property>
  <property name="xd_ProgID" fmtid="{D5CDD505-2E9C-101B-9397-08002B2CF9AE}" pid="6">
    <vt:lpwstr/>
  </property>
  <property name="ComplianceAssetId" fmtid="{D5CDD505-2E9C-101B-9397-08002B2CF9AE}" pid="7">
    <vt:lpwstr/>
  </property>
  <property name="TemplateUrl" fmtid="{D5CDD505-2E9C-101B-9397-08002B2CF9AE}" pid="8">
    <vt:lpwstr/>
  </property>
  <property name="AuthorIds_UIVersion_7168" fmtid="{D5CDD505-2E9C-101B-9397-08002B2CF9AE}" pid="9">
    <vt:lpwstr>98,46</vt:lpwstr>
  </property>
  <property name="AuthorIds_UIVersion_8192" fmtid="{D5CDD505-2E9C-101B-9397-08002B2CF9AE}" pid="10">
    <vt:lpwstr>98,57</vt:lpwstr>
  </property>
  <property name="AuthorIds_UIVersion_3072" fmtid="{D5CDD505-2E9C-101B-9397-08002B2CF9AE}" pid="11">
    <vt:lpwstr>45</vt:lpwstr>
  </property>
  <property name="AuthorIds_UIVersion_48128" fmtid="{D5CDD505-2E9C-101B-9397-08002B2CF9AE}" pid="12">
    <vt:lpwstr>98,58</vt:lpwstr>
  </property>
  <property name="MediaServiceImageTags" fmtid="{D5CDD505-2E9C-101B-9397-08002B2CF9AE}" pid="13">
    <vt:lpwstr/>
  </property>
</Properties>
</file>