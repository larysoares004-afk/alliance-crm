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Materiais" sheetId="3" state="visible" r:id="rId3"/>
    <sheet name="Equipamentos" sheetId="4" state="visible" r:id="rId4"/>
    <sheet name="EPI-EP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###"/>
    <numFmt numFmtId="165" formatCode="#,##0.##"/>
    <numFmt numFmtId="166" formatCode="&quot;R$&quot; #,##0.00;(&quot;R$&quot; #,##0.00);&quot;-&quot;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i val="1"/>
    </font>
    <font>
      <name val="Arial"/>
      <b val="1"/>
    </font>
    <font>
      <name val="Arial"/>
      <color rgb="0000800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E2A2F"/>
      </patternFill>
    </fill>
    <fill>
      <patternFill patternType="solid">
        <fgColor rgb="00FFF2A8"/>
      </patternFill>
    </fill>
    <fill>
      <patternFill patternType="solid">
        <fgColor rgb="00E8E2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166" fontId="8" fillId="0" borderId="1" pivotButton="0" quotePrefix="0" xfId="0"/>
    <xf numFmtId="166" fontId="9" fillId="0" borderId="1" pivotButton="0" quotePrefix="0" xfId="0"/>
    <xf numFmtId="0" fontId="2" fillId="0" borderId="0" pivotButton="0" quotePrefix="0" xfId="0"/>
    <xf numFmtId="0" fontId="7" fillId="0" borderId="0" pivotButton="0" quotePrefix="0" xfId="0"/>
    <xf numFmtId="4" fontId="5" fillId="3" borderId="1" pivotButton="0" quotePrefix="0" xfId="0"/>
    <xf numFmtId="9" fontId="5" fillId="3" borderId="1" pivotButton="0" quotePrefix="0" xfId="0"/>
    <xf numFmtId="0" fontId="6" fillId="0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wrapText="1"/>
    </xf>
    <xf numFmtId="4" fontId="8" fillId="0" borderId="1" pivotButton="0" quotePrefix="0" xfId="0"/>
    <xf numFmtId="164" fontId="5" fillId="0" borderId="1" pivotButton="0" quotePrefix="0" xfId="0"/>
    <xf numFmtId="9" fontId="5" fillId="0" borderId="1" pivotButton="0" quotePrefix="0" xfId="0"/>
    <xf numFmtId="165" fontId="5" fillId="0" borderId="1" pivotButton="0" quotePrefix="0" xfId="0"/>
    <xf numFmtId="3" fontId="7" fillId="0" borderId="1" pivotButton="0" quotePrefix="0" xfId="0"/>
    <xf numFmtId="166" fontId="5" fillId="3" borderId="1" pivotButton="0" quotePrefix="0" xfId="0"/>
    <xf numFmtId="166" fontId="4" fillId="0" borderId="1" pivotButton="0" quotePrefix="0" xfId="0"/>
    <xf numFmtId="9" fontId="8" fillId="0" borderId="1" pivotButton="0" quotePrefix="0" xfId="0"/>
    <xf numFmtId="4" fontId="5" fillId="0" borderId="1" pivotButton="0" quotePrefix="0" xfId="0"/>
    <xf numFmtId="164" fontId="8" fillId="0" borderId="1" pivotButton="0" quotePrefix="0" xfId="0"/>
    <xf numFmtId="166" fontId="7" fillId="0" borderId="0" pivotButton="0" quotePrefix="0" xfId="0"/>
    <xf numFmtId="165" fontId="8" fillId="0" borderId="1" pivotButton="0" quotePrefix="0" xfId="0"/>
    <xf numFmtId="0" fontId="8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12" customWidth="1" min="4" max="4"/>
  </cols>
  <sheetData>
    <row r="1">
      <c r="A1" s="1" t="inlineStr">
        <is>
          <t>RESUMO — CUSTO DE MATERIAIS, EQUIPAMENTOS E EPI (sem mão de obra)</t>
        </is>
      </c>
    </row>
    <row r="3" ht="32" customHeight="1">
      <c r="A3" s="2" t="inlineStr">
        <is>
          <t>Item</t>
        </is>
      </c>
      <c r="B3" s="2" t="inlineStr">
        <is>
          <t>Grupo</t>
        </is>
      </c>
      <c r="C3" s="2" t="inlineStr">
        <is>
          <t>Total (R$)</t>
        </is>
      </c>
      <c r="D3" s="2" t="inlineStr">
        <is>
          <t>% do total</t>
        </is>
      </c>
    </row>
    <row r="4">
      <c r="A4" s="3" t="inlineStr">
        <is>
          <t>3.0</t>
        </is>
      </c>
      <c r="B4" s="3" t="inlineStr">
        <is>
          <t>DEMOLIÇÕES</t>
        </is>
      </c>
      <c r="C4" s="4">
        <f>SUMPRODUCT((LEFT(Materiais!$A$2:$A$126,2)="3.")*Materiais!$K$2:$K$126)</f>
        <v/>
      </c>
      <c r="D4" s="5">
        <f>IFERROR(C4/$C$17,0)</f>
        <v/>
      </c>
    </row>
    <row r="5">
      <c r="A5" s="3" t="inlineStr">
        <is>
          <t>7.0</t>
        </is>
      </c>
      <c r="B5" s="3" t="inlineStr">
        <is>
          <t>FECHAMENTOS (tela, tijolo de vidro, chapa perfurada, muro de vidro)</t>
        </is>
      </c>
      <c r="C5" s="4">
        <f>SUMPRODUCT((LEFT(Materiais!$A$2:$A$126,2)="7.")*Materiais!$K$2:$K$126)</f>
        <v/>
      </c>
      <c r="D5" s="5">
        <f>IFERROR(C5/$C$17,0)</f>
        <v/>
      </c>
    </row>
    <row r="6">
      <c r="A6" s="3" t="inlineStr">
        <is>
          <t>9.0</t>
        </is>
      </c>
      <c r="B6" s="3" t="inlineStr">
        <is>
          <t>ILUMINAÇÃO</t>
        </is>
      </c>
      <c r="C6" s="4">
        <f>SUMPRODUCT((LEFT(Materiais!$A$2:$A$126,2)="9.")*Materiais!$K$2:$K$126)</f>
        <v/>
      </c>
      <c r="D6" s="5">
        <f>IFERROR(C6/$C$17,0)</f>
        <v/>
      </c>
    </row>
    <row r="7">
      <c r="A7" s="3" t="inlineStr">
        <is>
          <t>10.0</t>
        </is>
      </c>
      <c r="B7" s="3" t="inlineStr">
        <is>
          <t>PINTURA / ACABAMENTOS</t>
        </is>
      </c>
      <c r="C7" s="4">
        <f>SUMPRODUCT((LEFT(Materiais!$A$2:$A$126,3)="10.")*Materiais!$K$2:$K$126)</f>
        <v/>
      </c>
      <c r="D7" s="5">
        <f>IFERROR(C7/$C$17,0)</f>
        <v/>
      </c>
    </row>
    <row r="8">
      <c r="A8" s="3" t="inlineStr">
        <is>
          <t>12.0</t>
        </is>
      </c>
      <c r="B8" s="3" t="inlineStr">
        <is>
          <t>REVESTIMENTOS DE PAREDE (Fulget, moldura, ACM)</t>
        </is>
      </c>
      <c r="C8" s="4">
        <f>SUMPRODUCT((LEFT(Materiais!$A$2:$A$126,3)="12.")*Materiais!$K$2:$K$126)</f>
        <v/>
      </c>
      <c r="D8" s="5">
        <f>IFERROR(C8/$C$17,0)</f>
        <v/>
      </c>
    </row>
    <row r="9">
      <c r="A9" s="3" t="inlineStr">
        <is>
          <t>14.0</t>
        </is>
      </c>
      <c r="B9" s="3" t="inlineStr">
        <is>
          <t>ESQUADRIAS / TELAS</t>
        </is>
      </c>
      <c r="C9" s="4">
        <f>SUMPRODUCT((LEFT(Materiais!$A$2:$A$126,3)="14.")*Materiais!$K$2:$K$126)</f>
        <v/>
      </c>
      <c r="D9" s="5">
        <f>IFERROR(C9/$C$17,0)</f>
        <v/>
      </c>
    </row>
    <row r="10">
      <c r="A10" s="3" t="inlineStr">
        <is>
          <t>18.0</t>
        </is>
      </c>
      <c r="B10" s="3" t="inlineStr">
        <is>
          <t>IMPERMEABILIZAÇÃO</t>
        </is>
      </c>
      <c r="C10" s="4">
        <f>SUMPRODUCT((LEFT(Materiais!$A$2:$A$126,3)="18.")*Materiais!$K$2:$K$126)</f>
        <v/>
      </c>
      <c r="D10" s="5">
        <f>IFERROR(C10/$C$17,0)</f>
        <v/>
      </c>
    </row>
    <row r="11">
      <c r="A11" s="3" t="inlineStr">
        <is>
          <t>23.0</t>
        </is>
      </c>
      <c r="B11" s="3" t="inlineStr">
        <is>
          <t>TELHADOS – CALHAS E RUFOS</t>
        </is>
      </c>
      <c r="C11" s="4">
        <f>SUMPRODUCT((LEFT(Materiais!$A$2:$A$126,3)="23.")*Materiais!$K$2:$K$126)</f>
        <v/>
      </c>
      <c r="D11" s="5">
        <f>IFERROR(C11/$C$17,0)</f>
        <v/>
      </c>
    </row>
    <row r="12">
      <c r="A12" s="3" t="n"/>
      <c r="B12" s="6" t="inlineStr">
        <is>
          <t>Subtotal materiais (deve bater com a aba Materiais)</t>
        </is>
      </c>
      <c r="C12" s="7">
        <f>SUM(C4:C11)</f>
        <v/>
      </c>
      <c r="D12" s="5">
        <f>IFERROR(C12/$C$17,0)</f>
        <v/>
      </c>
    </row>
    <row r="13">
      <c r="A13" s="3" t="n"/>
      <c r="B13" s="3" t="inlineStr">
        <is>
          <t>Equipamentos, andaimes, plataformas e ferramentas</t>
        </is>
      </c>
      <c r="C13" s="8">
        <f>Equipamentos!$G$26</f>
        <v/>
      </c>
      <c r="D13" s="5">
        <f>IFERROR(C13/$C$17,0)</f>
        <v/>
      </c>
    </row>
    <row r="14">
      <c r="A14" s="3" t="n"/>
      <c r="B14" s="3" t="inlineStr">
        <is>
          <t>EPI, EPC e treinamentos</t>
        </is>
      </c>
      <c r="C14" s="8">
        <f>'EPI-EPC'!$F$28</f>
        <v/>
      </c>
      <c r="D14" s="5">
        <f>IFERROR(C14/$C$17,0)</f>
        <v/>
      </c>
    </row>
    <row r="15">
      <c r="A15" s="3" t="n"/>
      <c r="B15" s="3" t="inlineStr">
        <is>
          <t>Soma</t>
        </is>
      </c>
      <c r="C15" s="7">
        <f>C12+C13+C14</f>
        <v/>
      </c>
      <c r="D15" s="5">
        <f>IFERROR(C15/$C$17,0)</f>
        <v/>
      </c>
    </row>
    <row r="16">
      <c r="A16" s="3" t="n"/>
      <c r="B16" s="3" t="inlineStr">
        <is>
          <t>Contingência</t>
        </is>
      </c>
      <c r="C16" s="4">
        <f>C15*Premissas!$C$24</f>
        <v/>
      </c>
      <c r="D16" s="5">
        <f>IFERROR(C16/$C$17,0)</f>
        <v/>
      </c>
    </row>
    <row r="17">
      <c r="A17" s="3" t="n"/>
      <c r="B17" s="6" t="inlineStr">
        <is>
          <t>TOTAL GERAL (sem mão de obra, BDI e impostos)</t>
        </is>
      </c>
      <c r="C17" s="9">
        <f>C15+C16</f>
        <v/>
      </c>
      <c r="D17" s="5">
        <f>IFERROR(C17/$C$17,0)</f>
        <v/>
      </c>
    </row>
    <row r="18">
      <c r="C18" s="10">
        <f>IF(ABS(C12-Materiais!$K$128)&lt;0.01,"OK – confere com aba Materiais","CONFERIR")</f>
        <v/>
      </c>
    </row>
    <row r="20">
      <c r="A20" s="11" t="inlineStr">
        <is>
          <t>Observações:</t>
        </is>
      </c>
    </row>
    <row r="21">
      <c r="A21" s="10" t="inlineStr">
        <is>
          <t>• Preços de referência São Paulo (capital), out/2026, sem frete e sem mão de obra. Cotar com 3 fornecedores antes de fechar.</t>
        </is>
      </c>
    </row>
    <row r="22">
      <c r="A22" s="10" t="inlineStr">
        <is>
          <t>• Chapa perfurada usa 104 m² (conferido nas plantas) e não os 80 m² da planilha – ajustar em Premissas se quiser.</t>
        </is>
      </c>
    </row>
    <row r="23">
      <c r="A23" s="10" t="inlineStr">
        <is>
          <t>• Item 12.04: a planilha diz "remoção" da moldura EPS, mas o projeto manda INSTALAR moldura em todos os caixilhos – orçado como fornecimento.</t>
        </is>
      </c>
    </row>
    <row r="24">
      <c r="A24" s="10" t="inlineStr">
        <is>
          <t>• Muro de vidro (7.05) e calhas (23.01) costumam ser contratados como fornecimento + instalação – compare com a soma de material desta planilha.</t>
        </is>
      </c>
    </row>
    <row r="25">
      <c r="A25" s="10" t="inlineStr">
        <is>
          <t>• Forro (10.01/10.02) e área de caixilhos (10.03) foram ASSUMIDOS – medir no local.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0" customWidth="1" min="4" max="4"/>
    <col width="80" customWidth="1" min="5" max="5"/>
  </cols>
  <sheetData>
    <row r="1">
      <c r="A1" s="1" t="inlineStr">
        <is>
          <t>LEVANTAMENTO DE MATERIAIS — REFORMA DE FACHADA UNIVERSIDADE SÃO CAMILO (IPIRANGA)</t>
        </is>
      </c>
    </row>
    <row r="2">
      <c r="A2" s="10" t="inlineStr">
        <is>
          <t>Células em amarelo/azul são editáveis. Todas as quantidades das outras abas são calculadas a partir daqui.</t>
        </is>
      </c>
    </row>
    <row r="3" ht="32" customHeight="1">
      <c r="A3" s="2" t="inlineStr">
        <is>
          <t>Ref</t>
        </is>
      </c>
      <c r="B3" s="2" t="inlineStr">
        <is>
          <t>Premissa</t>
        </is>
      </c>
      <c r="C3" s="2" t="inlineStr">
        <is>
          <t>Valor</t>
        </is>
      </c>
      <c r="D3" s="2" t="inlineStr">
        <is>
          <t>Unid.</t>
        </is>
      </c>
      <c r="E3" s="2" t="inlineStr">
        <is>
          <t>Origem / observação</t>
        </is>
      </c>
    </row>
    <row r="4">
      <c r="A4" s="3" t="n">
        <v>4</v>
      </c>
      <c r="B4" s="3" t="inlineStr">
        <is>
          <t>Área Fulget cinza médio (item 12.01)</t>
        </is>
      </c>
      <c r="C4" s="12" t="n">
        <v>1830.4</v>
      </c>
      <c r="D4" s="3" t="inlineStr">
        <is>
          <t>m²</t>
        </is>
      </c>
      <c r="E4" s="3" t="inlineStr">
        <is>
          <t>Planilha do cliente, item 12.01</t>
        </is>
      </c>
    </row>
    <row r="5">
      <c r="A5" s="3" t="n">
        <v>5</v>
      </c>
      <c r="B5" s="3" t="inlineStr">
        <is>
          <t>Área Fulget cinza claro – torre (12.02)</t>
        </is>
      </c>
      <c r="C5" s="12" t="n">
        <v>53.83</v>
      </c>
      <c r="D5" s="3" t="inlineStr">
        <is>
          <t>m²</t>
        </is>
      </c>
      <c r="E5" s="3" t="inlineStr">
        <is>
          <t>Planilha do cliente, item 12.02</t>
        </is>
      </c>
    </row>
    <row r="6">
      <c r="A6" s="3" t="n">
        <v>6</v>
      </c>
      <c r="B6" s="3" t="inlineStr">
        <is>
          <t>Área Fulget vermelho – floreira (12.03)</t>
        </is>
      </c>
      <c r="C6" s="12" t="n">
        <v>2</v>
      </c>
      <c r="D6" s="3" t="inlineStr">
        <is>
          <t>m²</t>
        </is>
      </c>
      <c r="E6" s="3" t="inlineStr">
        <is>
          <t>Planilha do cliente, item 12.03</t>
        </is>
      </c>
    </row>
    <row r="7">
      <c r="A7" s="3" t="n">
        <v>7</v>
      </c>
      <c r="B7" s="3" t="inlineStr">
        <is>
          <t>Área de demolição de revestimentos (3.01)</t>
        </is>
      </c>
      <c r="C7" s="12" t="n">
        <v>1884.25</v>
      </c>
      <c r="D7" s="3" t="inlineStr">
        <is>
          <t>m²</t>
        </is>
      </c>
      <c r="E7" s="3" t="inlineStr">
        <is>
          <t>Planilha do cliente, item 3.01</t>
        </is>
      </c>
    </row>
    <row r="8">
      <c r="A8" s="3" t="n">
        <v>8</v>
      </c>
      <c r="B8" s="3" t="inlineStr">
        <is>
          <t>ACM vermelho 4 mm (12.05)</t>
        </is>
      </c>
      <c r="C8" s="12" t="n">
        <v>287.84</v>
      </c>
      <c r="D8" s="3" t="inlineStr">
        <is>
          <t>m²</t>
        </is>
      </c>
      <c r="E8" s="3" t="inlineStr">
        <is>
          <t>Planilha do cliente; levantamento nas plantas ≈ 290 m²</t>
        </is>
      </c>
    </row>
    <row r="9">
      <c r="A9" s="3" t="n">
        <v>9</v>
      </c>
      <c r="B9" s="3" t="inlineStr">
        <is>
          <t>ACM cinza médio 4 mm (12.06)</t>
        </is>
      </c>
      <c r="C9" s="12" t="n">
        <v>23.47</v>
      </c>
      <c r="D9" s="3" t="inlineStr">
        <is>
          <t>m²</t>
        </is>
      </c>
      <c r="E9" s="3" t="inlineStr">
        <is>
          <t>Planilha do cliente, item 12.06</t>
        </is>
      </c>
    </row>
    <row r="10">
      <c r="A10" s="3" t="n">
        <v>10</v>
      </c>
      <c r="B10" s="3" t="inlineStr">
        <is>
          <t>Chapa perfurada moeda (7.04)</t>
        </is>
      </c>
      <c r="C10" s="12" t="n">
        <v>104</v>
      </c>
      <c r="D10" s="3" t="inlineStr">
        <is>
          <t>m²</t>
        </is>
      </c>
      <c r="E10" s="3" t="inlineStr">
        <is>
          <t>Conferido nas plantas ≈ 104 m² (planilha: 80 m²). Profundidade das bonecas assumida 0,30 m</t>
        </is>
      </c>
    </row>
    <row r="11">
      <c r="A11" s="3" t="n">
        <v>11</v>
      </c>
      <c r="B11" s="3" t="inlineStr">
        <is>
          <t>Moldura cimentícia EPS 100x30 (12.04)</t>
        </is>
      </c>
      <c r="C11" s="12" t="n">
        <v>1269</v>
      </c>
      <c r="D11" s="3" t="inlineStr">
        <is>
          <t>ml</t>
        </is>
      </c>
      <c r="E11" s="3" t="inlineStr">
        <is>
          <t>Planilha do cliente (projeto pede INSTALAÇÃO; planilha diz "remoção" – confirmar)</t>
        </is>
      </c>
    </row>
    <row r="12">
      <c r="A12" s="3" t="n">
        <v>12</v>
      </c>
      <c r="B12" s="3" t="inlineStr">
        <is>
          <t>Tijolo de vidro 200x200x60 ventilado (7.02)</t>
        </is>
      </c>
      <c r="C12" s="12" t="n">
        <v>11</v>
      </c>
      <c r="D12" s="3" t="inlineStr">
        <is>
          <t>m²</t>
        </is>
      </c>
      <c r="E12" s="3" t="inlineStr">
        <is>
          <t>Planilha do cliente, item 7.02</t>
        </is>
      </c>
    </row>
    <row r="13">
      <c r="A13" s="3" t="n">
        <v>13</v>
      </c>
      <c r="B13" s="3" t="inlineStr">
        <is>
          <t>Tijolo de vidro 190x190x80 ondulado (7.03)</t>
        </is>
      </c>
      <c r="C13" s="12" t="n">
        <v>5</v>
      </c>
      <c r="D13" s="3" t="inlineStr">
        <is>
          <t>m²</t>
        </is>
      </c>
      <c r="E13" s="3" t="inlineStr">
        <is>
          <t>Planilha do cliente, item 7.03</t>
        </is>
      </c>
    </row>
    <row r="14">
      <c r="A14" s="3" t="n">
        <v>14</v>
      </c>
      <c r="B14" s="3" t="inlineStr">
        <is>
          <t>Muro de vidro temperado + alumínio (7.05)</t>
        </is>
      </c>
      <c r="C14" s="12" t="n">
        <v>110</v>
      </c>
      <c r="D14" s="3" t="inlineStr">
        <is>
          <t>m²</t>
        </is>
      </c>
      <c r="E14" s="3" t="inlineStr">
        <is>
          <t>Planilha do cliente, item 7.05</t>
        </is>
      </c>
    </row>
    <row r="15">
      <c r="A15" s="3" t="n">
        <v>15</v>
      </c>
      <c r="B15" s="3" t="inlineStr">
        <is>
          <t>Tela anti-pássaros torre (7.01)</t>
        </is>
      </c>
      <c r="C15" s="12" t="n">
        <v>50</v>
      </c>
      <c r="D15" s="3" t="inlineStr">
        <is>
          <t>m²</t>
        </is>
      </c>
      <c r="E15" s="3" t="inlineStr">
        <is>
          <t>Planilha do cliente, item 7.01</t>
        </is>
      </c>
    </row>
    <row r="16">
      <c r="A16" s="3" t="n">
        <v>16</v>
      </c>
      <c r="B16" s="3" t="inlineStr">
        <is>
          <t>Calhas e rufos (23.01)</t>
        </is>
      </c>
      <c r="C16" s="12" t="n">
        <v>220</v>
      </c>
      <c r="D16" s="3" t="inlineStr">
        <is>
          <t>ml</t>
        </is>
      </c>
      <c r="E16" s="3" t="inlineStr">
        <is>
          <t>Planilha do cliente indica 220 "unid." – tratado como metro linear</t>
        </is>
      </c>
    </row>
    <row r="17">
      <c r="A17" s="3" t="n">
        <v>17</v>
      </c>
      <c r="B17" s="3" t="inlineStr">
        <is>
          <t>Forro existente – massa e pintura (10.01/10.02)</t>
        </is>
      </c>
      <c r="C17" s="12" t="n">
        <v>150</v>
      </c>
      <c r="D17" s="3" t="inlineStr">
        <is>
          <t>m²</t>
        </is>
      </c>
      <c r="E17" s="3" t="inlineStr">
        <is>
          <t>ASSUMIDO (planilha diz "vb"). Medir no local</t>
        </is>
      </c>
    </row>
    <row r="18">
      <c r="A18" s="3" t="n">
        <v>18</v>
      </c>
      <c r="B18" s="3" t="inlineStr">
        <is>
          <t>Caixilhos/portas de ferro – área de pintura (10.03)</t>
        </is>
      </c>
      <c r="C18" s="12" t="n">
        <v>450</v>
      </c>
      <c r="D18" s="3" t="inlineStr">
        <is>
          <t>m²</t>
        </is>
      </c>
      <c r="E18" s="3" t="inlineStr">
        <is>
          <t>≈ área de vãos levantada nas plantas (≈ 455 m²). Medir no local</t>
        </is>
      </c>
    </row>
    <row r="19">
      <c r="A19" s="3" t="n">
        <v>19</v>
      </c>
      <c r="B19" s="3" t="inlineStr">
        <is>
          <t>Área bruta de fachada (base p/ andaime)</t>
        </is>
      </c>
      <c r="C19" s="12" t="n">
        <v>2125</v>
      </c>
      <c r="D19" s="3" t="inlineStr">
        <is>
          <t>m²</t>
        </is>
      </c>
      <c r="E19" s="3" t="inlineStr">
        <is>
          <t>Levantamento nas plantas (fachadas c/ janelas, sem muros)</t>
        </is>
      </c>
    </row>
    <row r="20">
      <c r="A20" s="3" t="n">
        <v>20</v>
      </c>
      <c r="B20" s="3" t="inlineStr">
        <is>
          <t>% da fachada com andaime montado ao mesmo tempo</t>
        </is>
      </c>
      <c r="C20" s="13" t="n">
        <v>0.5</v>
      </c>
      <c r="D20" s="3" t="inlineStr"/>
      <c r="E20" s="3" t="inlineStr">
        <is>
          <t>Andaime avança por trechos/fachadas</t>
        </is>
      </c>
    </row>
    <row r="21">
      <c r="A21" s="3" t="n">
        <v>21</v>
      </c>
      <c r="B21" s="3" t="inlineStr">
        <is>
          <t>Prazo de obra</t>
        </is>
      </c>
      <c r="C21" s="12" t="n">
        <v>5</v>
      </c>
      <c r="D21" s="3" t="inlineStr">
        <is>
          <t>meses</t>
        </is>
      </c>
      <c r="E21" s="3" t="inlineStr">
        <is>
          <t>ASSUMIDO</t>
        </is>
      </c>
    </row>
    <row r="22">
      <c r="A22" s="3" t="n">
        <v>22</v>
      </c>
      <c r="B22" s="3" t="inlineStr">
        <is>
          <t>Equipe média em obra</t>
        </is>
      </c>
      <c r="C22" s="12" t="n">
        <v>10</v>
      </c>
      <c r="D22" s="3" t="inlineStr">
        <is>
          <t>pessoas</t>
        </is>
      </c>
      <c r="E22" s="3" t="inlineStr">
        <is>
          <t>ASSUMIDO</t>
        </is>
      </c>
    </row>
    <row r="23">
      <c r="A23" s="3" t="n">
        <v>23</v>
      </c>
      <c r="B23" s="3" t="inlineStr">
        <is>
          <t>Perda padrão de materiais</t>
        </is>
      </c>
      <c r="C23" s="13" t="n">
        <v>0.1</v>
      </c>
      <c r="D23" s="3" t="inlineStr"/>
      <c r="E23" s="3" t="inlineStr">
        <is>
          <t>Usada quando a linha não define outra</t>
        </is>
      </c>
    </row>
    <row r="24">
      <c r="A24" s="3" t="n">
        <v>24</v>
      </c>
      <c r="B24" s="3" t="inlineStr">
        <is>
          <t>Contingência sobre o total</t>
        </is>
      </c>
      <c r="C24" s="13" t="n">
        <v>0.1</v>
      </c>
      <c r="D24" s="3" t="inlineStr"/>
      <c r="E24" s="3" t="inlineStr">
        <is>
          <t>Reserva para imprevistos</t>
        </is>
      </c>
    </row>
    <row r="25">
      <c r="A25" s="3" t="n">
        <v>25</v>
      </c>
      <c r="B25" s="3" t="inlineStr">
        <is>
          <t>Espaçamento médio das juntas horizontais do Fulget</t>
        </is>
      </c>
      <c r="C25" s="12" t="n">
        <v>1.85</v>
      </c>
      <c r="D25" s="3" t="inlineStr">
        <is>
          <t>m</t>
        </is>
      </c>
      <c r="E25" s="3" t="inlineStr">
        <is>
          <t>Projeto: juntas a cada pavimento/faixa (1,61 a 2,00 m)</t>
        </is>
      </c>
    </row>
    <row r="28">
      <c r="A28" s="14" t="inlineStr">
        <is>
          <t>Preços: referência de mercado em São Paulo (capital), out/2026, material sem mão de obra e sem frete, salvo indicação. São estimativas para orçamento — confirmar com no mínimo 3 cotações antes de fechar.</t>
        </is>
      </c>
    </row>
    <row r="29">
      <c r="A29" s="10" t="inlineStr">
        <is>
          <t>Referências públicas usadas como âncora: SINAPI 05/2026 (locação de andaime fachadeiro R$ 21,00/m²×mês, média nacional; Fulget moldado in loco R$ 190,10/m² com execução); anúncios de ACM 3 mm 1,22×5 m (≈ R$ 74–101/m²).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1" customWidth="1" min="3" max="3"/>
    <col width="14" customWidth="1" min="4" max="4"/>
    <col width="9" customWidth="1" min="5" max="5"/>
    <col width="12" customWidth="1" min="6" max="6"/>
    <col width="8" customWidth="1" min="7" max="7"/>
    <col width="13" customWidth="1" min="8" max="8"/>
    <col width="12" customWidth="1" min="9" max="9"/>
    <col width="14" customWidth="1" min="10" max="10"/>
    <col width="16" customWidth="1" min="11" max="11"/>
    <col width="70" customWidth="1" min="12" max="12"/>
  </cols>
  <sheetData>
    <row r="1" ht="32" customHeight="1">
      <c r="A1" s="2" t="inlineStr">
        <is>
          <t>Item</t>
        </is>
      </c>
      <c r="B1" s="2" t="inlineStr">
        <is>
          <t>Material / insumo</t>
        </is>
      </c>
      <c r="C1" s="2" t="inlineStr">
        <is>
          <t>Unid. compra</t>
        </is>
      </c>
      <c r="D1" s="2" t="inlineStr">
        <is>
          <t>Base (qtde do serviço)</t>
        </is>
      </c>
      <c r="E1" s="2" t="inlineStr">
        <is>
          <t>Unid. base</t>
        </is>
      </c>
      <c r="F1" s="2" t="inlineStr">
        <is>
          <t>Consumo por unid. base</t>
        </is>
      </c>
      <c r="G1" s="2" t="inlineStr">
        <is>
          <t>Perda</t>
        </is>
      </c>
      <c r="H1" s="2" t="inlineStr">
        <is>
          <t>Rendimento por unid. de compra</t>
        </is>
      </c>
      <c r="I1" s="2" t="inlineStr">
        <is>
          <t>Qtde a comprar</t>
        </is>
      </c>
      <c r="J1" s="2" t="inlineStr">
        <is>
          <t>Preço unit. SP (R$)</t>
        </is>
      </c>
      <c r="K1" s="2" t="inlineStr">
        <is>
          <t>Total (R$)</t>
        </is>
      </c>
      <c r="L1" s="2" t="inlineStr">
        <is>
          <t>Observação / especificação</t>
        </is>
      </c>
    </row>
    <row r="2">
      <c r="A2" s="15" t="inlineStr">
        <is>
          <t>3.0</t>
        </is>
      </c>
      <c r="B2" s="15" t="inlineStr">
        <is>
          <t>DEMOLIÇÕES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>
      <c r="A3" s="3" t="inlineStr">
        <is>
          <t>3.01</t>
        </is>
      </c>
      <c r="B3" s="17" t="inlineStr">
        <is>
          <t>Disco diamantado segmentado 110 mm (corte de reboco)</t>
        </is>
      </c>
      <c r="C3" s="3" t="inlineStr">
        <is>
          <t>un</t>
        </is>
      </c>
      <c r="D3" s="18">
        <f>Premissas!$C$7</f>
        <v/>
      </c>
      <c r="E3" s="3" t="inlineStr">
        <is>
          <t>m²</t>
        </is>
      </c>
      <c r="F3" s="19" t="n">
        <v>1</v>
      </c>
      <c r="G3" s="20" t="n">
        <v>0</v>
      </c>
      <c r="H3" s="21" t="n">
        <v>60</v>
      </c>
      <c r="I3" s="22">
        <f>IFERROR(ROUNDUP(D3*F3*(1+G3)/H3,0),0)</f>
        <v/>
      </c>
      <c r="J3" s="23" t="n">
        <v>45</v>
      </c>
      <c r="K3" s="24">
        <f>I3*J3</f>
        <v/>
      </c>
      <c r="L3" s="17" t="inlineStr">
        <is>
          <t>1 disco p/ ~60 m²</t>
        </is>
      </c>
    </row>
    <row r="4">
      <c r="A4" s="3" t="inlineStr">
        <is>
          <t>3.01</t>
        </is>
      </c>
      <c r="B4" s="17" t="inlineStr">
        <is>
          <t>Ponteiro e talhadeira SDS-Max p/ martelete</t>
        </is>
      </c>
      <c r="C4" s="3" t="inlineStr">
        <is>
          <t>un</t>
        </is>
      </c>
      <c r="D4" s="18">
        <f>Premissas!$C$7</f>
        <v/>
      </c>
      <c r="E4" s="3" t="inlineStr">
        <is>
          <t>m²</t>
        </is>
      </c>
      <c r="F4" s="19" t="n">
        <v>1</v>
      </c>
      <c r="G4" s="20" t="n">
        <v>0</v>
      </c>
      <c r="H4" s="21" t="n">
        <v>120</v>
      </c>
      <c r="I4" s="22">
        <f>IFERROR(ROUNDUP(D4*F4*(1+G4)/H4,0),0)</f>
        <v/>
      </c>
      <c r="J4" s="23" t="n">
        <v>85</v>
      </c>
      <c r="K4" s="24">
        <f>I4*J4</f>
        <v/>
      </c>
      <c r="L4" s="17" t="inlineStr">
        <is>
          <t>Desgaste</t>
        </is>
      </c>
    </row>
    <row r="5">
      <c r="A5" s="3" t="inlineStr">
        <is>
          <t>3.01</t>
        </is>
      </c>
      <c r="B5" s="17" t="inlineStr">
        <is>
          <t>Saco de ráfia p/ entulho (60 kg)</t>
        </is>
      </c>
      <c r="C5" s="3" t="inlineStr">
        <is>
          <t>un</t>
        </is>
      </c>
      <c r="D5" s="18">
        <f>Premissas!$C$7</f>
        <v/>
      </c>
      <c r="E5" s="3" t="inlineStr">
        <is>
          <t>m²</t>
        </is>
      </c>
      <c r="F5" s="19" t="n">
        <v>0.5</v>
      </c>
      <c r="G5" s="20" t="n">
        <v>0</v>
      </c>
      <c r="H5" s="21" t="n">
        <v>1</v>
      </c>
      <c r="I5" s="22">
        <f>IFERROR(ROUNDUP(D5*F5*(1+G5)/H5,0),0)</f>
        <v/>
      </c>
      <c r="J5" s="23" t="n">
        <v>1.6</v>
      </c>
      <c r="K5" s="24">
        <f>I5*J5</f>
        <v/>
      </c>
      <c r="L5" s="17" t="inlineStr">
        <is>
          <t>Parte do entulho desce pelo tubo coletor direto na caçamba</t>
        </is>
      </c>
    </row>
    <row r="6">
      <c r="A6" s="3" t="inlineStr">
        <is>
          <t>3.01</t>
        </is>
      </c>
      <c r="B6" s="17" t="inlineStr">
        <is>
          <t>Lona plástica preta 150 micras (proteção de pisos/floreiras)</t>
        </is>
      </c>
      <c r="C6" s="3" t="inlineStr">
        <is>
          <t>m²</t>
        </is>
      </c>
      <c r="D6" s="18">
        <f>Premissas!$C$7</f>
        <v/>
      </c>
      <c r="E6" s="3" t="inlineStr">
        <is>
          <t>m²</t>
        </is>
      </c>
      <c r="F6" s="19" t="n">
        <v>0.3</v>
      </c>
      <c r="G6" s="25">
        <f>Premissas!$C$23</f>
        <v/>
      </c>
      <c r="H6" s="21" t="n">
        <v>1</v>
      </c>
      <c r="I6" s="22">
        <f>IFERROR(ROUNDUP(D6*F6*(1+G6)/H6,0),0)</f>
        <v/>
      </c>
      <c r="J6" s="23" t="n">
        <v>2.8</v>
      </c>
      <c r="K6" s="24">
        <f>I6*J6</f>
        <v/>
      </c>
      <c r="L6" s="17" t="inlineStr">
        <is>
          <t>Proteção ao pé da fachada</t>
        </is>
      </c>
    </row>
    <row r="7">
      <c r="A7" s="3" t="inlineStr">
        <is>
          <t>3.02</t>
        </is>
      </c>
      <c r="B7" s="17" t="inlineStr">
        <is>
          <t>Fita isolante, conectores tipo Wago e caixas p/ guarda dos refletores</t>
        </is>
      </c>
      <c r="C7" s="3" t="inlineStr">
        <is>
          <t>vb</t>
        </is>
      </c>
      <c r="D7" s="26" t="n">
        <v>1</v>
      </c>
      <c r="E7" s="3" t="inlineStr">
        <is>
          <t>vb</t>
        </is>
      </c>
      <c r="F7" s="19" t="n">
        <v>1</v>
      </c>
      <c r="G7" s="20" t="n">
        <v>0</v>
      </c>
      <c r="H7" s="21" t="n">
        <v>1</v>
      </c>
      <c r="I7" s="22">
        <f>IFERROR(ROUNDUP(D7*F7*(1+G7)/H7,0),0)</f>
        <v/>
      </c>
      <c r="J7" s="23" t="n">
        <v>250</v>
      </c>
      <c r="K7" s="24">
        <f>I7*J7</f>
        <v/>
      </c>
      <c r="L7" s="17" t="inlineStr">
        <is>
          <t>Refletores serão reinstalados</t>
        </is>
      </c>
    </row>
    <row r="8">
      <c r="A8" s="3" t="inlineStr">
        <is>
          <t>3.03</t>
        </is>
      </c>
      <c r="B8" s="17" t="inlineStr">
        <is>
          <t>Disco de corte 4.1/2" p/ metal (marquise metálica)</t>
        </is>
      </c>
      <c r="C8" s="3" t="inlineStr">
        <is>
          <t>un</t>
        </is>
      </c>
      <c r="D8" s="26" t="n">
        <v>1</v>
      </c>
      <c r="E8" s="3" t="inlineStr">
        <is>
          <t>vb</t>
        </is>
      </c>
      <c r="F8" s="19" t="n">
        <v>40</v>
      </c>
      <c r="G8" s="20" t="n">
        <v>0</v>
      </c>
      <c r="H8" s="21" t="n">
        <v>1</v>
      </c>
      <c r="I8" s="22">
        <f>IFERROR(ROUNDUP(D8*F8*(1+G8)/H8,0),0)</f>
        <v/>
      </c>
      <c r="J8" s="23" t="n">
        <v>8.5</v>
      </c>
      <c r="K8" s="24">
        <f>I8*J8</f>
        <v/>
      </c>
      <c r="L8" s="17" t="inlineStr">
        <is>
          <t>Demolição da marquise metálica</t>
        </is>
      </c>
    </row>
    <row r="9">
      <c r="A9" s="3" t="inlineStr">
        <is>
          <t>3.03</t>
        </is>
      </c>
      <c r="B9" s="17" t="inlineStr">
        <is>
          <t>Cilindro de oxigênio + acetileno (recarga) p/ oxicorte</t>
        </is>
      </c>
      <c r="C9" s="3" t="inlineStr">
        <is>
          <t>un</t>
        </is>
      </c>
      <c r="D9" s="26" t="n">
        <v>1</v>
      </c>
      <c r="E9" s="3" t="inlineStr">
        <is>
          <t>vb</t>
        </is>
      </c>
      <c r="F9" s="19" t="n">
        <v>1</v>
      </c>
      <c r="G9" s="20" t="n">
        <v>0</v>
      </c>
      <c r="H9" s="21" t="n">
        <v>1</v>
      </c>
      <c r="I9" s="22">
        <f>IFERROR(ROUNDUP(D9*F9*(1+G9)/H9,0),0)</f>
        <v/>
      </c>
      <c r="J9" s="23" t="n">
        <v>650</v>
      </c>
      <c r="K9" s="24">
        <f>I9*J9</f>
        <v/>
      </c>
      <c r="L9" s="17" t="inlineStr">
        <is>
          <t>Se houver estrutura pesada; opcional</t>
        </is>
      </c>
    </row>
    <row r="10">
      <c r="A10" s="3" t="inlineStr">
        <is>
          <t>3.04</t>
        </is>
      </c>
      <c r="B10" s="17" t="inlineStr">
        <is>
          <t>Material p/ desativação elétrica (fita, terminais, conectores, caixas de passagem)</t>
        </is>
      </c>
      <c r="C10" s="3" t="inlineStr">
        <is>
          <t>vb</t>
        </is>
      </c>
      <c r="D10" s="26" t="n">
        <v>1</v>
      </c>
      <c r="E10" s="3" t="inlineStr">
        <is>
          <t>vb</t>
        </is>
      </c>
      <c r="F10" s="19" t="n">
        <v>1</v>
      </c>
      <c r="G10" s="20" t="n">
        <v>0</v>
      </c>
      <c r="H10" s="21" t="n">
        <v>1</v>
      </c>
      <c r="I10" s="22">
        <f>IFERROR(ROUNDUP(D10*F10*(1+G10)/H10,0),0)</f>
        <v/>
      </c>
      <c r="J10" s="23" t="n">
        <v>450</v>
      </c>
      <c r="K10" s="24">
        <f>I10*J10</f>
        <v/>
      </c>
      <c r="L10" s="17" t="inlineStr"/>
    </row>
    <row r="11">
      <c r="A11" s="3" t="inlineStr">
        <is>
          <t>3.05</t>
        </is>
      </c>
      <c r="B11" s="17" t="inlineStr">
        <is>
          <t>Disco diamantado p/ rasgo em parede/piso (125 mm)</t>
        </is>
      </c>
      <c r="C11" s="3" t="inlineStr">
        <is>
          <t>un</t>
        </is>
      </c>
      <c r="D11" s="26" t="n">
        <v>1</v>
      </c>
      <c r="E11" s="3" t="inlineStr">
        <is>
          <t>vb</t>
        </is>
      </c>
      <c r="F11" s="19" t="n">
        <v>6</v>
      </c>
      <c r="G11" s="20" t="n">
        <v>0</v>
      </c>
      <c r="H11" s="21" t="n">
        <v>1</v>
      </c>
      <c r="I11" s="22">
        <f>IFERROR(ROUNDUP(D11*F11*(1+G11)/H11,0),0)</f>
        <v/>
      </c>
      <c r="J11" s="23" t="n">
        <v>65</v>
      </c>
      <c r="K11" s="24">
        <f>I11*J11</f>
        <v/>
      </c>
      <c r="L11" s="17" t="inlineStr"/>
    </row>
    <row r="12">
      <c r="A12" s="3" t="inlineStr">
        <is>
          <t>3.05</t>
        </is>
      </c>
      <c r="B12" s="17" t="inlineStr">
        <is>
          <t>Argamassa p/ fechamento de rasgos (saco 20 kg)</t>
        </is>
      </c>
      <c r="C12" s="3" t="inlineStr">
        <is>
          <t>sc</t>
        </is>
      </c>
      <c r="D12" s="26" t="n">
        <v>1</v>
      </c>
      <c r="E12" s="3" t="inlineStr">
        <is>
          <t>vb</t>
        </is>
      </c>
      <c r="F12" s="19" t="n">
        <v>15</v>
      </c>
      <c r="G12" s="20" t="n">
        <v>0</v>
      </c>
      <c r="H12" s="21" t="n">
        <v>1</v>
      </c>
      <c r="I12" s="22">
        <f>IFERROR(ROUNDUP(D12*F12*(1+G12)/H12,0),0)</f>
        <v/>
      </c>
      <c r="J12" s="23" t="n">
        <v>24</v>
      </c>
      <c r="K12" s="24">
        <f>I12*J12</f>
        <v/>
      </c>
      <c r="L12" s="17" t="inlineStr"/>
    </row>
    <row r="13">
      <c r="A13" s="3" t="inlineStr">
        <is>
          <t>3.06</t>
        </is>
      </c>
      <c r="B13" s="17" t="inlineStr">
        <is>
          <t>Caçamba estacionária 5 m³ (locação + retirada)</t>
        </is>
      </c>
      <c r="C13" s="3" t="inlineStr">
        <is>
          <t>un</t>
        </is>
      </c>
      <c r="D13" s="18">
        <f>Premissas!$C$7</f>
        <v/>
      </c>
      <c r="E13" s="3" t="inlineStr">
        <is>
          <t>m²</t>
        </is>
      </c>
      <c r="F13" s="19" t="n">
        <v>0.0325</v>
      </c>
      <c r="G13" s="20" t="n">
        <v>0</v>
      </c>
      <c r="H13" s="21" t="n">
        <v>5</v>
      </c>
      <c r="I13" s="22">
        <f>IFERROR(ROUNDUP(D13*F13*(1+G13)/H13,0),0)</f>
        <v/>
      </c>
      <c r="J13" s="23" t="n">
        <v>480</v>
      </c>
      <c r="K13" s="24">
        <f>I13*J13</f>
        <v/>
      </c>
      <c r="L13" s="17" t="inlineStr">
        <is>
          <t>≈ 61 m³ de entulho ÷ 5 m³ ≈ 13 caçambas (inclui CTR)</t>
        </is>
      </c>
    </row>
    <row r="14">
      <c r="A14" s="15" t="inlineStr">
        <is>
          <t>7.0</t>
        </is>
      </c>
      <c r="B14" s="15" t="inlineStr">
        <is>
          <t>FECHAMENTOS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3" t="inlineStr">
        <is>
          <t>7.01</t>
        </is>
      </c>
      <c r="B15" s="17" t="inlineStr">
        <is>
          <t>Tela anti-pássaros (polietileno alta resistência ou aço galvanizado)</t>
        </is>
      </c>
      <c r="C15" s="3" t="inlineStr">
        <is>
          <t>m²</t>
        </is>
      </c>
      <c r="D15" s="18">
        <f>Premissas!$C$15</f>
        <v/>
      </c>
      <c r="E15" s="3" t="inlineStr">
        <is>
          <t>m²</t>
        </is>
      </c>
      <c r="F15" s="19" t="n">
        <v>1</v>
      </c>
      <c r="G15" s="25">
        <f>Premissas!$C$23</f>
        <v/>
      </c>
      <c r="H15" s="21" t="n">
        <v>1</v>
      </c>
      <c r="I15" s="22">
        <f>IFERROR(ROUNDUP(D15*F15*(1+G15)/H15,0),0)</f>
        <v/>
      </c>
      <c r="J15" s="23" t="n">
        <v>28</v>
      </c>
      <c r="K15" s="24">
        <f>I15*J15</f>
        <v/>
      </c>
      <c r="L15" s="17" t="inlineStr"/>
    </row>
    <row r="16">
      <c r="A16" s="3" t="inlineStr">
        <is>
          <t>7.01</t>
        </is>
      </c>
      <c r="B16" s="17" t="inlineStr">
        <is>
          <t>Kit fixação (perfil/cantoneira alumínio, abraçadeiras, buchas, parafusos inox)</t>
        </is>
      </c>
      <c r="C16" s="3" t="inlineStr">
        <is>
          <t>m²</t>
        </is>
      </c>
      <c r="D16" s="18">
        <f>Premissas!$C$15</f>
        <v/>
      </c>
      <c r="E16" s="3" t="inlineStr">
        <is>
          <t>m²</t>
        </is>
      </c>
      <c r="F16" s="19" t="n">
        <v>1</v>
      </c>
      <c r="G16" s="25">
        <f>Premissas!$C$23</f>
        <v/>
      </c>
      <c r="H16" s="21" t="n">
        <v>1</v>
      </c>
      <c r="I16" s="22">
        <f>IFERROR(ROUNDUP(D16*F16*(1+G16)/H16,0),0)</f>
        <v/>
      </c>
      <c r="J16" s="23" t="n">
        <v>18</v>
      </c>
      <c r="K16" s="24">
        <f>I16*J16</f>
        <v/>
      </c>
      <c r="L16" s="17" t="inlineStr"/>
    </row>
    <row r="17">
      <c r="A17" s="3" t="inlineStr">
        <is>
          <t>7.02</t>
        </is>
      </c>
      <c r="B17" s="17" t="inlineStr">
        <is>
          <t>Tijolo de vidro 200x200x60 incolor COM VENTILAÇÃO</t>
        </is>
      </c>
      <c r="C17" s="3" t="inlineStr">
        <is>
          <t>un</t>
        </is>
      </c>
      <c r="D17" s="18">
        <f>Premissas!$C$12</f>
        <v/>
      </c>
      <c r="E17" s="3" t="inlineStr">
        <is>
          <t>m²</t>
        </is>
      </c>
      <c r="F17" s="19" t="n">
        <v>25</v>
      </c>
      <c r="G17" s="25">
        <f>Premissas!$C$23</f>
        <v/>
      </c>
      <c r="H17" s="21" t="n">
        <v>1</v>
      </c>
      <c r="I17" s="22">
        <f>IFERROR(ROUNDUP(D17*F17*(1+G17)/H17,0),0)</f>
        <v/>
      </c>
      <c r="J17" s="23" t="n">
        <v>48</v>
      </c>
      <c r="K17" s="24">
        <f>I17*J17</f>
        <v/>
      </c>
      <c r="L17" s="17" t="inlineStr">
        <is>
          <t>25 un/m²</t>
        </is>
      </c>
    </row>
    <row r="18">
      <c r="A18" s="3" t="inlineStr">
        <is>
          <t>7.02</t>
        </is>
      </c>
      <c r="B18" s="17" t="inlineStr">
        <is>
          <t>Barra de aço CA-60 Ø5 mm (travamento V/H) – barra 12 m</t>
        </is>
      </c>
      <c r="C18" s="3" t="inlineStr">
        <is>
          <t>br</t>
        </is>
      </c>
      <c r="D18" s="18">
        <f>Premissas!$C$12</f>
        <v/>
      </c>
      <c r="E18" s="3" t="inlineStr">
        <is>
          <t>m²</t>
        </is>
      </c>
      <c r="F18" s="19" t="n">
        <v>10</v>
      </c>
      <c r="G18" s="25">
        <f>Premissas!$C$23</f>
        <v/>
      </c>
      <c r="H18" s="21" t="n">
        <v>12</v>
      </c>
      <c r="I18" s="22">
        <f>IFERROR(ROUNDUP(D18*F18*(1+G18)/H18,0),0)</f>
        <v/>
      </c>
      <c r="J18" s="23" t="n">
        <v>22</v>
      </c>
      <c r="K18" s="24">
        <f>I18*J18</f>
        <v/>
      </c>
      <c r="L18" s="17" t="inlineStr">
        <is>
          <t>≈ 10 m/m²</t>
        </is>
      </c>
    </row>
    <row r="19">
      <c r="A19" s="3" t="inlineStr">
        <is>
          <t>7.02</t>
        </is>
      </c>
      <c r="B19" s="17" t="inlineStr">
        <is>
          <t>Argamassa p/ assentamento de bloco de vidro (saco 20 kg)</t>
        </is>
      </c>
      <c r="C19" s="3" t="inlineStr">
        <is>
          <t>sc</t>
        </is>
      </c>
      <c r="D19" s="18">
        <f>Premissas!$C$12</f>
        <v/>
      </c>
      <c r="E19" s="3" t="inlineStr">
        <is>
          <t>m²</t>
        </is>
      </c>
      <c r="F19" s="19" t="n">
        <v>25</v>
      </c>
      <c r="G19" s="25">
        <f>Premissas!$C$23</f>
        <v/>
      </c>
      <c r="H19" s="21" t="n">
        <v>20</v>
      </c>
      <c r="I19" s="22">
        <f>IFERROR(ROUNDUP(D19*F19*(1+G19)/H19,0),0)</f>
        <v/>
      </c>
      <c r="J19" s="23" t="n">
        <v>38</v>
      </c>
      <c r="K19" s="24">
        <f>I19*J19</f>
        <v/>
      </c>
      <c r="L19" s="17" t="inlineStr">
        <is>
          <t>≈ 25 kg/m²</t>
        </is>
      </c>
    </row>
    <row r="20">
      <c r="A20" s="3" t="inlineStr">
        <is>
          <t>7.02</t>
        </is>
      </c>
      <c r="B20" s="17" t="inlineStr">
        <is>
          <t>Espaçadores p/ bloco de vidro</t>
        </is>
      </c>
      <c r="C20" s="3" t="inlineStr">
        <is>
          <t>un</t>
        </is>
      </c>
      <c r="D20" s="18">
        <f>Premissas!$C$12</f>
        <v/>
      </c>
      <c r="E20" s="3" t="inlineStr">
        <is>
          <t>m²</t>
        </is>
      </c>
      <c r="F20" s="19" t="n">
        <v>30</v>
      </c>
      <c r="G20" s="25">
        <f>Premissas!$C$23</f>
        <v/>
      </c>
      <c r="H20" s="21" t="n">
        <v>1</v>
      </c>
      <c r="I20" s="22">
        <f>IFERROR(ROUNDUP(D20*F20*(1+G20)/H20,0),0)</f>
        <v/>
      </c>
      <c r="J20" s="23" t="n">
        <v>0.9</v>
      </c>
      <c r="K20" s="24">
        <f>I20*J20</f>
        <v/>
      </c>
      <c r="L20" s="17" t="inlineStr"/>
    </row>
    <row r="21">
      <c r="A21" s="3" t="inlineStr">
        <is>
          <t>7.03</t>
        </is>
      </c>
      <c r="B21" s="17" t="inlineStr">
        <is>
          <t>Tijolo de vidro 190x190x80 ondulado incolor</t>
        </is>
      </c>
      <c r="C21" s="3" t="inlineStr">
        <is>
          <t>un</t>
        </is>
      </c>
      <c r="D21" s="18">
        <f>Premissas!$C$13</f>
        <v/>
      </c>
      <c r="E21" s="3" t="inlineStr">
        <is>
          <t>m²</t>
        </is>
      </c>
      <c r="F21" s="19" t="n">
        <v>25</v>
      </c>
      <c r="G21" s="25">
        <f>Premissas!$C$23</f>
        <v/>
      </c>
      <c r="H21" s="21" t="n">
        <v>1</v>
      </c>
      <c r="I21" s="22">
        <f>IFERROR(ROUNDUP(D21*F21*(1+G21)/H21,0),0)</f>
        <v/>
      </c>
      <c r="J21" s="23" t="n">
        <v>24</v>
      </c>
      <c r="K21" s="24">
        <f>I21*J21</f>
        <v/>
      </c>
      <c r="L21" s="17" t="inlineStr">
        <is>
          <t>25 un/m²</t>
        </is>
      </c>
    </row>
    <row r="22">
      <c r="A22" s="3" t="inlineStr">
        <is>
          <t>7.03</t>
        </is>
      </c>
      <c r="B22" s="17" t="inlineStr">
        <is>
          <t>Barra de aço CA-60 Ø5 mm – barra 12 m</t>
        </is>
      </c>
      <c r="C22" s="3" t="inlineStr">
        <is>
          <t>br</t>
        </is>
      </c>
      <c r="D22" s="18">
        <f>Premissas!$C$13</f>
        <v/>
      </c>
      <c r="E22" s="3" t="inlineStr">
        <is>
          <t>m²</t>
        </is>
      </c>
      <c r="F22" s="19" t="n">
        <v>10</v>
      </c>
      <c r="G22" s="25">
        <f>Premissas!$C$23</f>
        <v/>
      </c>
      <c r="H22" s="21" t="n">
        <v>12</v>
      </c>
      <c r="I22" s="22">
        <f>IFERROR(ROUNDUP(D22*F22*(1+G22)/H22,0),0)</f>
        <v/>
      </c>
      <c r="J22" s="23" t="n">
        <v>22</v>
      </c>
      <c r="K22" s="24">
        <f>I22*J22</f>
        <v/>
      </c>
      <c r="L22" s="17" t="inlineStr"/>
    </row>
    <row r="23">
      <c r="A23" s="3" t="inlineStr">
        <is>
          <t>7.03</t>
        </is>
      </c>
      <c r="B23" s="17" t="inlineStr">
        <is>
          <t>Argamassa p/ assentamento de bloco de vidro (saco 20 kg)</t>
        </is>
      </c>
      <c r="C23" s="3" t="inlineStr">
        <is>
          <t>sc</t>
        </is>
      </c>
      <c r="D23" s="18">
        <f>Premissas!$C$13</f>
        <v/>
      </c>
      <c r="E23" s="3" t="inlineStr">
        <is>
          <t>m²</t>
        </is>
      </c>
      <c r="F23" s="19" t="n">
        <v>25</v>
      </c>
      <c r="G23" s="25">
        <f>Premissas!$C$23</f>
        <v/>
      </c>
      <c r="H23" s="21" t="n">
        <v>20</v>
      </c>
      <c r="I23" s="22">
        <f>IFERROR(ROUNDUP(D23*F23*(1+G23)/H23,0),0)</f>
        <v/>
      </c>
      <c r="J23" s="23" t="n">
        <v>38</v>
      </c>
      <c r="K23" s="24">
        <f>I23*J23</f>
        <v/>
      </c>
      <c r="L23" s="17" t="inlineStr"/>
    </row>
    <row r="24">
      <c r="A24" s="3" t="inlineStr">
        <is>
          <t>7.04</t>
        </is>
      </c>
      <c r="B24" s="17" t="inlineStr">
        <is>
          <t>Chapa de ferro perfurada furo redondo (moeda) alternado, #16 (1,5 mm), 1,0×2,0 m</t>
        </is>
      </c>
      <c r="C24" s="3" t="inlineStr">
        <is>
          <t>ch</t>
        </is>
      </c>
      <c r="D24" s="18">
        <f>Premissas!$C$10</f>
        <v/>
      </c>
      <c r="E24" s="3" t="inlineStr">
        <is>
          <t>m²</t>
        </is>
      </c>
      <c r="F24" s="19" t="n">
        <v>1</v>
      </c>
      <c r="G24" s="20" t="n">
        <v>0.15</v>
      </c>
      <c r="H24" s="21" t="n">
        <v>2</v>
      </c>
      <c r="I24" s="22">
        <f>IFERROR(ROUNDUP(D24*F24*(1+G24)/H24,0),0)</f>
        <v/>
      </c>
      <c r="J24" s="23" t="n">
        <v>390</v>
      </c>
      <c r="K24" s="24">
        <f>I24*J24</f>
        <v/>
      </c>
      <c r="L24" s="17" t="inlineStr">
        <is>
          <t>≈ R$ 195/m². Perda de recortes 15%</t>
        </is>
      </c>
    </row>
    <row r="25">
      <c r="A25" s="3" t="inlineStr">
        <is>
          <t>7.04</t>
        </is>
      </c>
      <c r="B25" s="17" t="inlineStr">
        <is>
          <t>Metalon 30x30 #18 (subestrutura das caixas e bonecas) – barra 6 m</t>
        </is>
      </c>
      <c r="C25" s="3" t="inlineStr">
        <is>
          <t>br</t>
        </is>
      </c>
      <c r="D25" s="18">
        <f>Premissas!$C$10</f>
        <v/>
      </c>
      <c r="E25" s="3" t="inlineStr">
        <is>
          <t>m²</t>
        </is>
      </c>
      <c r="F25" s="19" t="n">
        <v>2.5</v>
      </c>
      <c r="G25" s="25">
        <f>Premissas!$C$23</f>
        <v/>
      </c>
      <c r="H25" s="21" t="n">
        <v>6</v>
      </c>
      <c r="I25" s="22">
        <f>IFERROR(ROUNDUP(D25*F25*(1+G25)/H25,0),0)</f>
        <v/>
      </c>
      <c r="J25" s="23" t="n">
        <v>78</v>
      </c>
      <c r="K25" s="24">
        <f>I25*J25</f>
        <v/>
      </c>
      <c r="L25" s="17" t="inlineStr">
        <is>
          <t>≈ 2,5 m/m²</t>
        </is>
      </c>
    </row>
    <row r="26">
      <c r="A26" s="3" t="inlineStr">
        <is>
          <t>7.04</t>
        </is>
      </c>
      <c r="B26" s="17" t="inlineStr">
        <is>
          <t>Cantoneira 1"x1/8" – barra 6 m (requadro/fixação)</t>
        </is>
      </c>
      <c r="C26" s="3" t="inlineStr">
        <is>
          <t>br</t>
        </is>
      </c>
      <c r="D26" s="18">
        <f>Premissas!$C$10</f>
        <v/>
      </c>
      <c r="E26" s="3" t="inlineStr">
        <is>
          <t>m²</t>
        </is>
      </c>
      <c r="F26" s="19" t="n">
        <v>1</v>
      </c>
      <c r="G26" s="25">
        <f>Premissas!$C$23</f>
        <v/>
      </c>
      <c r="H26" s="21" t="n">
        <v>6</v>
      </c>
      <c r="I26" s="22">
        <f>IFERROR(ROUNDUP(D26*F26*(1+G26)/H26,0),0)</f>
        <v/>
      </c>
      <c r="J26" s="23" t="n">
        <v>62</v>
      </c>
      <c r="K26" s="24">
        <f>I26*J26</f>
        <v/>
      </c>
      <c r="L26" s="17" t="inlineStr"/>
    </row>
    <row r="27">
      <c r="A27" s="3" t="inlineStr">
        <is>
          <t>7.04</t>
        </is>
      </c>
      <c r="B27" s="17" t="inlineStr">
        <is>
          <t>Chumbador/parabolt 3/8" com porca</t>
        </is>
      </c>
      <c r="C27" s="3" t="inlineStr">
        <is>
          <t>un</t>
        </is>
      </c>
      <c r="D27" s="18">
        <f>Premissas!$C$10</f>
        <v/>
      </c>
      <c r="E27" s="3" t="inlineStr">
        <is>
          <t>m²</t>
        </is>
      </c>
      <c r="F27" s="19" t="n">
        <v>2</v>
      </c>
      <c r="G27" s="25">
        <f>Premissas!$C$23</f>
        <v/>
      </c>
      <c r="H27" s="21" t="n">
        <v>1</v>
      </c>
      <c r="I27" s="22">
        <f>IFERROR(ROUNDUP(D27*F27*(1+G27)/H27,0),0)</f>
        <v/>
      </c>
      <c r="J27" s="23" t="n">
        <v>4.2</v>
      </c>
      <c r="K27" s="24">
        <f>I27*J27</f>
        <v/>
      </c>
      <c r="L27" s="17" t="inlineStr">
        <is>
          <t>Caixas removíveis: prever parafuso c/ porca</t>
        </is>
      </c>
    </row>
    <row r="28">
      <c r="A28" s="3" t="inlineStr">
        <is>
          <t>7.04</t>
        </is>
      </c>
      <c r="B28" s="17" t="inlineStr">
        <is>
          <t>Fundo anticorrosivo (galão 3,6 L)</t>
        </is>
      </c>
      <c r="C28" s="3" t="inlineStr">
        <is>
          <t>gl</t>
        </is>
      </c>
      <c r="D28" s="18">
        <f>Premissas!$C$10</f>
        <v/>
      </c>
      <c r="E28" s="3" t="inlineStr">
        <is>
          <t>m²</t>
        </is>
      </c>
      <c r="F28" s="19" t="n">
        <v>2</v>
      </c>
      <c r="G28" s="25">
        <f>Premissas!$C$23</f>
        <v/>
      </c>
      <c r="H28" s="21" t="n">
        <v>40</v>
      </c>
      <c r="I28" s="22">
        <f>IFERROR(ROUNDUP(D28*F28*(1+G28)/H28,0),0)</f>
        <v/>
      </c>
      <c r="J28" s="23" t="n">
        <v>175</v>
      </c>
      <c r="K28" s="24">
        <f>I28*J28</f>
        <v/>
      </c>
      <c r="L28" s="17" t="inlineStr">
        <is>
          <t>2 faces da chapa; ≈ 40 m²/galão</t>
        </is>
      </c>
    </row>
    <row r="29">
      <c r="A29" s="3" t="inlineStr">
        <is>
          <t>7.04</t>
        </is>
      </c>
      <c r="B29" s="17" t="inlineStr">
        <is>
          <t>Tinta PU acrílica alifática cinza médio (kit 3,6 L)</t>
        </is>
      </c>
      <c r="C29" s="3" t="inlineStr">
        <is>
          <t>kit</t>
        </is>
      </c>
      <c r="D29" s="18">
        <f>Premissas!$C$10</f>
        <v/>
      </c>
      <c r="E29" s="3" t="inlineStr">
        <is>
          <t>m²</t>
        </is>
      </c>
      <c r="F29" s="19" t="n">
        <v>2</v>
      </c>
      <c r="G29" s="20" t="n">
        <v>0.15</v>
      </c>
      <c r="H29" s="21" t="n">
        <v>25</v>
      </c>
      <c r="I29" s="22">
        <f>IFERROR(ROUNDUP(D29*F29*(1+G29)/H29,0),0)</f>
        <v/>
      </c>
      <c r="J29" s="23" t="n">
        <v>320</v>
      </c>
      <c r="K29" s="24">
        <f>I29*J29</f>
        <v/>
      </c>
      <c r="L29" s="17" t="inlineStr">
        <is>
          <t>2 faces; 2 demãos; ≈ 25 m²/kit/demão… ver obs</t>
        </is>
      </c>
    </row>
    <row r="30">
      <c r="A30" s="3" t="inlineStr">
        <is>
          <t>7.04</t>
        </is>
      </c>
      <c r="B30" s="17" t="inlineStr">
        <is>
          <t>Diluente PU (5 L)</t>
        </is>
      </c>
      <c r="C30" s="3" t="inlineStr">
        <is>
          <t>gl</t>
        </is>
      </c>
      <c r="D30" s="18">
        <f>Premissas!$C$10</f>
        <v/>
      </c>
      <c r="E30" s="3" t="inlineStr">
        <is>
          <t>m²</t>
        </is>
      </c>
      <c r="F30" s="19" t="n">
        <v>1</v>
      </c>
      <c r="G30" s="25">
        <f>Premissas!$C$23</f>
        <v/>
      </c>
      <c r="H30" s="21" t="n">
        <v>60</v>
      </c>
      <c r="I30" s="22">
        <f>IFERROR(ROUNDUP(D30*F30*(1+G30)/H30,0),0)</f>
        <v/>
      </c>
      <c r="J30" s="23" t="n">
        <v>120</v>
      </c>
      <c r="K30" s="24">
        <f>I30*J30</f>
        <v/>
      </c>
      <c r="L30" s="17" t="inlineStr"/>
    </row>
    <row r="31">
      <c r="A31" s="3" t="inlineStr">
        <is>
          <t>7.04</t>
        </is>
      </c>
      <c r="B31" s="17" t="inlineStr">
        <is>
          <t>Eletrodo 6013 2,5 mm (kg) / arame MIG</t>
        </is>
      </c>
      <c r="C31" s="3" t="inlineStr">
        <is>
          <t>kg</t>
        </is>
      </c>
      <c r="D31" s="18">
        <f>Premissas!$C$10</f>
        <v/>
      </c>
      <c r="E31" s="3" t="inlineStr">
        <is>
          <t>m²</t>
        </is>
      </c>
      <c r="F31" s="19" t="n">
        <v>0.15</v>
      </c>
      <c r="G31" s="25">
        <f>Premissas!$C$23</f>
        <v/>
      </c>
      <c r="H31" s="21" t="n">
        <v>1</v>
      </c>
      <c r="I31" s="22">
        <f>IFERROR(ROUNDUP(D31*F31*(1+G31)/H31,0),0)</f>
        <v/>
      </c>
      <c r="J31" s="23" t="n">
        <v>38</v>
      </c>
      <c r="K31" s="24">
        <f>I31*J31</f>
        <v/>
      </c>
      <c r="L31" s="17" t="inlineStr"/>
    </row>
    <row r="32">
      <c r="A32" s="3" t="inlineStr">
        <is>
          <t>7.05</t>
        </is>
      </c>
      <c r="B32" s="17" t="inlineStr">
        <is>
          <t>Vidro temperado incolor 10 mm (muro e portões)</t>
        </is>
      </c>
      <c r="C32" s="3" t="inlineStr">
        <is>
          <t>m²</t>
        </is>
      </c>
      <c r="D32" s="18">
        <f>Premissas!$C$14</f>
        <v/>
      </c>
      <c r="E32" s="3" t="inlineStr">
        <is>
          <t>m²</t>
        </is>
      </c>
      <c r="F32" s="19" t="n">
        <v>1</v>
      </c>
      <c r="G32" s="25">
        <f>Premissas!$C$23</f>
        <v/>
      </c>
      <c r="H32" s="21" t="n">
        <v>1</v>
      </c>
      <c r="I32" s="22">
        <f>IFERROR(ROUNDUP(D32*F32*(1+G32)/H32,0),0)</f>
        <v/>
      </c>
      <c r="J32" s="23" t="n">
        <v>290</v>
      </c>
      <c r="K32" s="24">
        <f>I32*J32</f>
        <v/>
      </c>
      <c r="L32" s="17" t="inlineStr">
        <is>
          <t>Normalmente fornecido + instalado por vidraçaria – cotar pacote</t>
        </is>
      </c>
    </row>
    <row r="33">
      <c r="A33" s="3" t="inlineStr">
        <is>
          <t>7.05</t>
        </is>
      </c>
      <c r="B33" s="17" t="inlineStr">
        <is>
          <t>Perfil alumínio c/ pintura eletrostática preta (estrutura do muro)</t>
        </is>
      </c>
      <c r="C33" s="3" t="inlineStr">
        <is>
          <t>m²</t>
        </is>
      </c>
      <c r="D33" s="18">
        <f>Premissas!$C$14</f>
        <v/>
      </c>
      <c r="E33" s="3" t="inlineStr">
        <is>
          <t>m²</t>
        </is>
      </c>
      <c r="F33" s="19" t="n">
        <v>1</v>
      </c>
      <c r="G33" s="25">
        <f>Premissas!$C$23</f>
        <v/>
      </c>
      <c r="H33" s="21" t="n">
        <v>1</v>
      </c>
      <c r="I33" s="22">
        <f>IFERROR(ROUNDUP(D33*F33*(1+G33)/H33,0),0)</f>
        <v/>
      </c>
      <c r="J33" s="23" t="n">
        <v>210</v>
      </c>
      <c r="K33" s="24">
        <f>I33*J33</f>
        <v/>
      </c>
      <c r="L33" s="17" t="inlineStr">
        <is>
          <t>Valor por m² de painel</t>
        </is>
      </c>
    </row>
    <row r="34">
      <c r="A34" s="3" t="inlineStr">
        <is>
          <t>7.05</t>
        </is>
      </c>
      <c r="B34" s="17" t="inlineStr">
        <is>
          <t>Ferragens, fechaduras, molas e puxadores dos portões de vidro</t>
        </is>
      </c>
      <c r="C34" s="3" t="inlineStr">
        <is>
          <t>cj</t>
        </is>
      </c>
      <c r="D34" s="26" t="n">
        <v>1</v>
      </c>
      <c r="E34" s="3" t="inlineStr">
        <is>
          <t>vb</t>
        </is>
      </c>
      <c r="F34" s="19" t="n">
        <v>2</v>
      </c>
      <c r="G34" s="20" t="n">
        <v>0</v>
      </c>
      <c r="H34" s="21" t="n">
        <v>1</v>
      </c>
      <c r="I34" s="22">
        <f>IFERROR(ROUNDUP(D34*F34*(1+G34)/H34,0),0)</f>
        <v/>
      </c>
      <c r="J34" s="23" t="n">
        <v>1850</v>
      </c>
      <c r="K34" s="24">
        <f>I34*J34</f>
        <v/>
      </c>
      <c r="L34" s="17" t="inlineStr">
        <is>
          <t>2 portões (estimado)</t>
        </is>
      </c>
    </row>
    <row r="35">
      <c r="A35" s="3" t="inlineStr">
        <is>
          <t>7.05</t>
        </is>
      </c>
      <c r="B35" s="17" t="inlineStr">
        <is>
          <t>Silicone neutro incolor (tubo 280 g) + fita de vedação</t>
        </is>
      </c>
      <c r="C35" s="3" t="inlineStr">
        <is>
          <t>tb</t>
        </is>
      </c>
      <c r="D35" s="18">
        <f>Premissas!$C$14</f>
        <v/>
      </c>
      <c r="E35" s="3" t="inlineStr">
        <is>
          <t>m²</t>
        </is>
      </c>
      <c r="F35" s="19" t="n">
        <v>0.5</v>
      </c>
      <c r="G35" s="25">
        <f>Premissas!$C$23</f>
        <v/>
      </c>
      <c r="H35" s="21" t="n">
        <v>1</v>
      </c>
      <c r="I35" s="22">
        <f>IFERROR(ROUNDUP(D35*F35*(1+G35)/H35,0),0)</f>
        <v/>
      </c>
      <c r="J35" s="23" t="n">
        <v>32</v>
      </c>
      <c r="K35" s="24">
        <f>I35*J35</f>
        <v/>
      </c>
      <c r="L35" s="17" t="inlineStr"/>
    </row>
    <row r="36">
      <c r="A36" s="15" t="inlineStr">
        <is>
          <t>9.0</t>
        </is>
      </c>
      <c r="B36" s="15" t="inlineStr">
        <is>
          <t>ILUMINAÇÃO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3" t="inlineStr">
        <is>
          <t>9.02</t>
        </is>
      </c>
      <c r="B37" s="17" t="inlineStr">
        <is>
          <t>Refletor wall washer LED 80 W, 30°, IP66/67, 3000 K – Vista 1</t>
        </is>
      </c>
      <c r="C37" s="3" t="inlineStr">
        <is>
          <t>un</t>
        </is>
      </c>
      <c r="D37" s="26" t="n">
        <v>16</v>
      </c>
      <c r="E37" s="3" t="inlineStr">
        <is>
          <t>un</t>
        </is>
      </c>
      <c r="F37" s="19" t="n">
        <v>1</v>
      </c>
      <c r="G37" s="20" t="n">
        <v>0</v>
      </c>
      <c r="H37" s="21" t="n">
        <v>1</v>
      </c>
      <c r="I37" s="22">
        <f>IFERROR(ROUNDUP(D37*F37*(1+G37)/H37,0),0)</f>
        <v/>
      </c>
      <c r="J37" s="23" t="n">
        <v>690</v>
      </c>
      <c r="K37" s="24">
        <f>I37*J37</f>
        <v/>
      </c>
      <c r="L37" s="17" t="inlineStr">
        <is>
          <t>Quantidade da planilha</t>
        </is>
      </c>
    </row>
    <row r="38">
      <c r="A38" s="3" t="inlineStr">
        <is>
          <t>9.04</t>
        </is>
      </c>
      <c r="B38" s="17" t="inlineStr">
        <is>
          <t>Refletor wall washer LED 150 W, 30–45°, IP66/67, 3000 K – Vista 2</t>
        </is>
      </c>
      <c r="C38" s="3" t="inlineStr">
        <is>
          <t>un</t>
        </is>
      </c>
      <c r="D38" s="26" t="n">
        <v>22</v>
      </c>
      <c r="E38" s="3" t="inlineStr">
        <is>
          <t>un</t>
        </is>
      </c>
      <c r="F38" s="19" t="n">
        <v>1</v>
      </c>
      <c r="G38" s="20" t="n">
        <v>0</v>
      </c>
      <c r="H38" s="21" t="n">
        <v>1</v>
      </c>
      <c r="I38" s="22">
        <f>IFERROR(ROUNDUP(D38*F38*(1+G38)/H38,0),0)</f>
        <v/>
      </c>
      <c r="J38" s="23" t="n">
        <v>1150</v>
      </c>
      <c r="K38" s="24">
        <f>I38*J38</f>
        <v/>
      </c>
      <c r="L38" s="17" t="inlineStr"/>
    </row>
    <row r="39">
      <c r="A39" s="3" t="inlineStr">
        <is>
          <t>9.06</t>
        </is>
      </c>
      <c r="B39" s="17" t="inlineStr">
        <is>
          <t>Refletor wall washer LED 80 W, 30°, IP66/67, 3000 K – Vista 3</t>
        </is>
      </c>
      <c r="C39" s="3" t="inlineStr">
        <is>
          <t>un</t>
        </is>
      </c>
      <c r="D39" s="26" t="n">
        <v>14</v>
      </c>
      <c r="E39" s="3" t="inlineStr">
        <is>
          <t>un</t>
        </is>
      </c>
      <c r="F39" s="19" t="n">
        <v>1</v>
      </c>
      <c r="G39" s="20" t="n">
        <v>0</v>
      </c>
      <c r="H39" s="21" t="n">
        <v>1</v>
      </c>
      <c r="I39" s="22">
        <f>IFERROR(ROUNDUP(D39*F39*(1+G39)/H39,0),0)</f>
        <v/>
      </c>
      <c r="J39" s="23" t="n">
        <v>690</v>
      </c>
      <c r="K39" s="24">
        <f>I39*J39</f>
        <v/>
      </c>
      <c r="L39" s="17" t="inlineStr"/>
    </row>
    <row r="40">
      <c r="A40" s="3" t="inlineStr">
        <is>
          <t>9.0</t>
        </is>
      </c>
      <c r="B40" s="17" t="inlineStr">
        <is>
          <t>Cabo PP 3x2,5 mm² (alimentação dos refletores)</t>
        </is>
      </c>
      <c r="C40" s="3" t="inlineStr">
        <is>
          <t>m</t>
        </is>
      </c>
      <c r="D40" s="26" t="n">
        <v>52</v>
      </c>
      <c r="E40" s="3" t="inlineStr">
        <is>
          <t>un</t>
        </is>
      </c>
      <c r="F40" s="19" t="n">
        <v>15</v>
      </c>
      <c r="G40" s="25">
        <f>Premissas!$C$23</f>
        <v/>
      </c>
      <c r="H40" s="21" t="n">
        <v>1</v>
      </c>
      <c r="I40" s="22">
        <f>IFERROR(ROUNDUP(D40*F40*(1+G40)/H40,0),0)</f>
        <v/>
      </c>
      <c r="J40" s="23" t="n">
        <v>9.800000000000001</v>
      </c>
      <c r="K40" s="24">
        <f>I40*J40</f>
        <v/>
      </c>
      <c r="L40" s="17" t="inlineStr">
        <is>
          <t>≈ 15 m por refletor (52 refletores)</t>
        </is>
      </c>
    </row>
    <row r="41">
      <c r="A41" s="3" t="inlineStr">
        <is>
          <t>9.0</t>
        </is>
      </c>
      <c r="B41" s="17" t="inlineStr">
        <is>
          <t>Eletroduto galvanizado 3/4" + conduletes + abraçadeiras</t>
        </is>
      </c>
      <c r="C41" s="3" t="inlineStr">
        <is>
          <t>m</t>
        </is>
      </c>
      <c r="D41" s="26" t="n">
        <v>52</v>
      </c>
      <c r="E41" s="3" t="inlineStr">
        <is>
          <t>un</t>
        </is>
      </c>
      <c r="F41" s="19" t="n">
        <v>12</v>
      </c>
      <c r="G41" s="25">
        <f>Premissas!$C$23</f>
        <v/>
      </c>
      <c r="H41" s="21" t="n">
        <v>1</v>
      </c>
      <c r="I41" s="22">
        <f>IFERROR(ROUNDUP(D41*F41*(1+G41)/H41,0),0)</f>
        <v/>
      </c>
      <c r="J41" s="23" t="n">
        <v>24</v>
      </c>
      <c r="K41" s="24">
        <f>I41*J41</f>
        <v/>
      </c>
      <c r="L41" s="17" t="inlineStr">
        <is>
          <t>≈ 12 m por refletor</t>
        </is>
      </c>
    </row>
    <row r="42">
      <c r="A42" s="3" t="inlineStr">
        <is>
          <t>9.0</t>
        </is>
      </c>
      <c r="B42" s="17" t="inlineStr">
        <is>
          <t>Disjuntores, DR e quadro de comando c/ temporizador/fotocélula</t>
        </is>
      </c>
      <c r="C42" s="3" t="inlineStr">
        <is>
          <t>cj</t>
        </is>
      </c>
      <c r="D42" s="26" t="n">
        <v>1</v>
      </c>
      <c r="E42" s="3" t="inlineStr">
        <is>
          <t>vb</t>
        </is>
      </c>
      <c r="F42" s="19" t="n">
        <v>3</v>
      </c>
      <c r="G42" s="20" t="n">
        <v>0</v>
      </c>
      <c r="H42" s="21" t="n">
        <v>1</v>
      </c>
      <c r="I42" s="22">
        <f>IFERROR(ROUNDUP(D42*F42*(1+G42)/H42,0),0)</f>
        <v/>
      </c>
      <c r="J42" s="23" t="n">
        <v>1200</v>
      </c>
      <c r="K42" s="24">
        <f>I42*J42</f>
        <v/>
      </c>
      <c r="L42" s="17" t="inlineStr">
        <is>
          <t>1 circuito por vista</t>
        </is>
      </c>
    </row>
    <row r="43">
      <c r="A43" s="15" t="inlineStr">
        <is>
          <t>10.0</t>
        </is>
      </c>
      <c r="B43" s="15" t="inlineStr">
        <is>
          <t>PINTURA / ACABAMENTOS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>
      <c r="A44" s="3" t="inlineStr">
        <is>
          <t>10.01</t>
        </is>
      </c>
      <c r="B44" s="17" t="inlineStr">
        <is>
          <t>Massa acrílica (lata 25 kg) – forro existente</t>
        </is>
      </c>
      <c r="C44" s="3" t="inlineStr">
        <is>
          <t>lt</t>
        </is>
      </c>
      <c r="D44" s="18">
        <f>Premissas!$C$17</f>
        <v/>
      </c>
      <c r="E44" s="3" t="inlineStr">
        <is>
          <t>m²</t>
        </is>
      </c>
      <c r="F44" s="19" t="n">
        <v>1</v>
      </c>
      <c r="G44" s="25">
        <f>Premissas!$C$23</f>
        <v/>
      </c>
      <c r="H44" s="21" t="n">
        <v>30</v>
      </c>
      <c r="I44" s="22">
        <f>IFERROR(ROUNDUP(D44*F44*(1+G44)/H44,0),0)</f>
        <v/>
      </c>
      <c r="J44" s="23" t="n">
        <v>165</v>
      </c>
      <c r="K44" s="24">
        <f>I44*J44</f>
        <v/>
      </c>
      <c r="L44" s="17" t="inlineStr">
        <is>
          <t>2 demãos; ≈ 30 m²/lata</t>
        </is>
      </c>
    </row>
    <row r="45">
      <c r="A45" s="3" t="inlineStr">
        <is>
          <t>10.01</t>
        </is>
      </c>
      <c r="B45" s="17" t="inlineStr">
        <is>
          <t>Lixa p/ massa nº 150/180</t>
        </is>
      </c>
      <c r="C45" s="3" t="inlineStr">
        <is>
          <t>un</t>
        </is>
      </c>
      <c r="D45" s="18">
        <f>Premissas!$C$17</f>
        <v/>
      </c>
      <c r="E45" s="3" t="inlineStr">
        <is>
          <t>m²</t>
        </is>
      </c>
      <c r="F45" s="19" t="n">
        <v>0.3</v>
      </c>
      <c r="G45" s="25">
        <f>Premissas!$C$23</f>
        <v/>
      </c>
      <c r="H45" s="21" t="n">
        <v>1</v>
      </c>
      <c r="I45" s="22">
        <f>IFERROR(ROUNDUP(D45*F45*(1+G45)/H45,0),0)</f>
        <v/>
      </c>
      <c r="J45" s="23" t="n">
        <v>1.6</v>
      </c>
      <c r="K45" s="24">
        <f>I45*J45</f>
        <v/>
      </c>
      <c r="L45" s="17" t="inlineStr"/>
    </row>
    <row r="46">
      <c r="A46" s="3" t="inlineStr">
        <is>
          <t>10.02</t>
        </is>
      </c>
      <c r="B46" s="17" t="inlineStr">
        <is>
          <t>Tinta acrílica fosca branca Coral Rende Muito (18 L)</t>
        </is>
      </c>
      <c r="C46" s="3" t="inlineStr">
        <is>
          <t>lt</t>
        </is>
      </c>
      <c r="D46" s="18">
        <f>Premissas!$C$17</f>
        <v/>
      </c>
      <c r="E46" s="3" t="inlineStr">
        <is>
          <t>m²</t>
        </is>
      </c>
      <c r="F46" s="19" t="n">
        <v>2</v>
      </c>
      <c r="G46" s="25">
        <f>Premissas!$C$23</f>
        <v/>
      </c>
      <c r="H46" s="21" t="n">
        <v>200</v>
      </c>
      <c r="I46" s="22">
        <f>IFERROR(ROUNDUP(D46*F46*(1+G46)/H46,0),0)</f>
        <v/>
      </c>
      <c r="J46" s="23" t="n">
        <v>330</v>
      </c>
      <c r="K46" s="24">
        <f>I46*J46</f>
        <v/>
      </c>
      <c r="L46" s="17" t="inlineStr">
        <is>
          <t>2 demãos; ≈ 200 m²/lata/demão</t>
        </is>
      </c>
    </row>
    <row r="47">
      <c r="A47" s="3" t="inlineStr">
        <is>
          <t>10.02</t>
        </is>
      </c>
      <c r="B47" s="17" t="inlineStr">
        <is>
          <t>Selador acrílico (18 L)</t>
        </is>
      </c>
      <c r="C47" s="3" t="inlineStr">
        <is>
          <t>lt</t>
        </is>
      </c>
      <c r="D47" s="18">
        <f>Premissas!$C$17</f>
        <v/>
      </c>
      <c r="E47" s="3" t="inlineStr">
        <is>
          <t>m²</t>
        </is>
      </c>
      <c r="F47" s="19" t="n">
        <v>1</v>
      </c>
      <c r="G47" s="25">
        <f>Premissas!$C$23</f>
        <v/>
      </c>
      <c r="H47" s="21" t="n">
        <v>100</v>
      </c>
      <c r="I47" s="22">
        <f>IFERROR(ROUNDUP(D47*F47*(1+G47)/H47,0),0)</f>
        <v/>
      </c>
      <c r="J47" s="23" t="n">
        <v>190</v>
      </c>
      <c r="K47" s="24">
        <f>I47*J47</f>
        <v/>
      </c>
      <c r="L47" s="17" t="inlineStr"/>
    </row>
    <row r="48">
      <c r="A48" s="3" t="inlineStr">
        <is>
          <t>10.03</t>
        </is>
      </c>
      <c r="B48" s="17" t="inlineStr">
        <is>
          <t>Fundo antiferruginoso / zarcão (galão 3,6 L)</t>
        </is>
      </c>
      <c r="C48" s="3" t="inlineStr">
        <is>
          <t>gl</t>
        </is>
      </c>
      <c r="D48" s="18">
        <f>Premissas!$C$18</f>
        <v/>
      </c>
      <c r="E48" s="3" t="inlineStr">
        <is>
          <t>m²</t>
        </is>
      </c>
      <c r="F48" s="19" t="n">
        <v>1</v>
      </c>
      <c r="G48" s="25">
        <f>Premissas!$C$23</f>
        <v/>
      </c>
      <c r="H48" s="21" t="n">
        <v>35</v>
      </c>
      <c r="I48" s="22">
        <f>IFERROR(ROUNDUP(D48*F48*(1+G48)/H48,0),0)</f>
        <v/>
      </c>
      <c r="J48" s="23" t="n">
        <v>135</v>
      </c>
      <c r="K48" s="24">
        <f>I48*J48</f>
        <v/>
      </c>
      <c r="L48" s="17" t="inlineStr">
        <is>
          <t>1 demão</t>
        </is>
      </c>
    </row>
    <row r="49">
      <c r="A49" s="3" t="inlineStr">
        <is>
          <t>10.03</t>
        </is>
      </c>
      <c r="B49" s="17" t="inlineStr">
        <is>
          <t>Esmalte sintético preto (galão 3,6 L)</t>
        </is>
      </c>
      <c r="C49" s="3" t="inlineStr">
        <is>
          <t>gl</t>
        </is>
      </c>
      <c r="D49" s="18">
        <f>Premissas!$C$18</f>
        <v/>
      </c>
      <c r="E49" s="3" t="inlineStr">
        <is>
          <t>m²</t>
        </is>
      </c>
      <c r="F49" s="19" t="n">
        <v>2</v>
      </c>
      <c r="G49" s="25">
        <f>Premissas!$C$23</f>
        <v/>
      </c>
      <c r="H49" s="21" t="n">
        <v>40</v>
      </c>
      <c r="I49" s="22">
        <f>IFERROR(ROUNDUP(D49*F49*(1+G49)/H49,0),0)</f>
        <v/>
      </c>
      <c r="J49" s="23" t="n">
        <v>160</v>
      </c>
      <c r="K49" s="24">
        <f>I49*J49</f>
        <v/>
      </c>
      <c r="L49" s="17" t="inlineStr">
        <is>
          <t>2 demãos</t>
        </is>
      </c>
    </row>
    <row r="50">
      <c r="A50" s="3" t="inlineStr">
        <is>
          <t>10.03</t>
        </is>
      </c>
      <c r="B50" s="17" t="inlineStr">
        <is>
          <t>Thinner / aguarrás (5 L)</t>
        </is>
      </c>
      <c r="C50" s="3" t="inlineStr">
        <is>
          <t>gl</t>
        </is>
      </c>
      <c r="D50" s="18">
        <f>Premissas!$C$18</f>
        <v/>
      </c>
      <c r="E50" s="3" t="inlineStr">
        <is>
          <t>m²</t>
        </is>
      </c>
      <c r="F50" s="19" t="n">
        <v>1</v>
      </c>
      <c r="G50" s="25">
        <f>Premissas!$C$23</f>
        <v/>
      </c>
      <c r="H50" s="21" t="n">
        <v>90</v>
      </c>
      <c r="I50" s="22">
        <f>IFERROR(ROUNDUP(D50*F50*(1+G50)/H50,0),0)</f>
        <v/>
      </c>
      <c r="J50" s="23" t="n">
        <v>85</v>
      </c>
      <c r="K50" s="24">
        <f>I50*J50</f>
        <v/>
      </c>
      <c r="L50" s="17" t="inlineStr"/>
    </row>
    <row r="51">
      <c r="A51" s="3" t="inlineStr">
        <is>
          <t>10.03</t>
        </is>
      </c>
      <c r="B51" s="17" t="inlineStr">
        <is>
          <t>Lixa ferro nº 80/120 + escova de aço</t>
        </is>
      </c>
      <c r="C51" s="3" t="inlineStr">
        <is>
          <t>un</t>
        </is>
      </c>
      <c r="D51" s="18">
        <f>Premissas!$C$18</f>
        <v/>
      </c>
      <c r="E51" s="3" t="inlineStr">
        <is>
          <t>m²</t>
        </is>
      </c>
      <c r="F51" s="19" t="n">
        <v>0.5</v>
      </c>
      <c r="G51" s="25">
        <f>Premissas!$C$23</f>
        <v/>
      </c>
      <c r="H51" s="21" t="n">
        <v>1</v>
      </c>
      <c r="I51" s="22">
        <f>IFERROR(ROUNDUP(D51*F51*(1+G51)/H51,0),0)</f>
        <v/>
      </c>
      <c r="J51" s="23" t="n">
        <v>3.5</v>
      </c>
      <c r="K51" s="24">
        <f>I51*J51</f>
        <v/>
      </c>
      <c r="L51" s="17" t="inlineStr"/>
    </row>
    <row r="52">
      <c r="A52" s="3" t="inlineStr">
        <is>
          <t>10.03</t>
        </is>
      </c>
      <c r="B52" s="17" t="inlineStr">
        <is>
          <t>Vidro liso 4 mm p/ reposição (estimado 5% dos vãos)</t>
        </is>
      </c>
      <c r="C52" s="3" t="inlineStr">
        <is>
          <t>m²</t>
        </is>
      </c>
      <c r="D52" s="18">
        <f>Premissas!$C$18</f>
        <v/>
      </c>
      <c r="E52" s="3" t="inlineStr">
        <is>
          <t>m²</t>
        </is>
      </c>
      <c r="F52" s="19" t="n">
        <v>0.05</v>
      </c>
      <c r="G52" s="25">
        <f>Premissas!$C$23</f>
        <v/>
      </c>
      <c r="H52" s="21" t="n">
        <v>1</v>
      </c>
      <c r="I52" s="22">
        <f>IFERROR(ROUNDUP(D52*F52*(1+G52)/H52,0),0)</f>
        <v/>
      </c>
      <c r="J52" s="23" t="n">
        <v>135</v>
      </c>
      <c r="K52" s="24">
        <f>I52*J52</f>
        <v/>
      </c>
      <c r="L52" s="17" t="inlineStr">
        <is>
          <t>Planilha: "trocar se necessário" – conferir na visita</t>
        </is>
      </c>
    </row>
    <row r="53">
      <c r="A53" s="3" t="inlineStr">
        <is>
          <t>10.03</t>
        </is>
      </c>
      <c r="B53" s="17" t="inlineStr">
        <is>
          <t>Massa de vidraceiro / silicone p/ vidros</t>
        </is>
      </c>
      <c r="C53" s="3" t="inlineStr">
        <is>
          <t>kg</t>
        </is>
      </c>
      <c r="D53" s="18">
        <f>Premissas!$C$18</f>
        <v/>
      </c>
      <c r="E53" s="3" t="inlineStr">
        <is>
          <t>m²</t>
        </is>
      </c>
      <c r="F53" s="19" t="n">
        <v>0.05</v>
      </c>
      <c r="G53" s="25">
        <f>Premissas!$C$23</f>
        <v/>
      </c>
      <c r="H53" s="21" t="n">
        <v>1</v>
      </c>
      <c r="I53" s="22">
        <f>IFERROR(ROUNDUP(D53*F53*(1+G53)/H53,0),0)</f>
        <v/>
      </c>
      <c r="J53" s="23" t="n">
        <v>18</v>
      </c>
      <c r="K53" s="24">
        <f>I53*J53</f>
        <v/>
      </c>
      <c r="L53" s="17" t="inlineStr"/>
    </row>
    <row r="54">
      <c r="A54" s="3" t="inlineStr">
        <is>
          <t>10.04</t>
        </is>
      </c>
      <c r="B54" s="17" t="inlineStr">
        <is>
          <t>Esmalte sintético vermelho segurança (galão 3,6 L) – hidrantes e portas corta-fogo</t>
        </is>
      </c>
      <c r="C54" s="3" t="inlineStr">
        <is>
          <t>gl</t>
        </is>
      </c>
      <c r="D54" s="26" t="n">
        <v>1</v>
      </c>
      <c r="E54" s="3" t="inlineStr">
        <is>
          <t>vb</t>
        </is>
      </c>
      <c r="F54" s="19" t="n">
        <v>4</v>
      </c>
      <c r="G54" s="20" t="n">
        <v>0</v>
      </c>
      <c r="H54" s="21" t="n">
        <v>1</v>
      </c>
      <c r="I54" s="22">
        <f>IFERROR(ROUNDUP(D54*F54*(1+G54)/H54,0),0)</f>
        <v/>
      </c>
      <c r="J54" s="23" t="n">
        <v>170</v>
      </c>
      <c r="K54" s="24">
        <f>I54*J54</f>
        <v/>
      </c>
      <c r="L54" s="17" t="inlineStr"/>
    </row>
    <row r="55">
      <c r="A55" s="3" t="inlineStr">
        <is>
          <t>10.04</t>
        </is>
      </c>
      <c r="B55" s="17" t="inlineStr">
        <is>
          <t>Fundo antiferruginoso (galão 3,6 L)</t>
        </is>
      </c>
      <c r="C55" s="3" t="inlineStr">
        <is>
          <t>gl</t>
        </is>
      </c>
      <c r="D55" s="26" t="n">
        <v>1</v>
      </c>
      <c r="E55" s="3" t="inlineStr">
        <is>
          <t>vb</t>
        </is>
      </c>
      <c r="F55" s="19" t="n">
        <v>2</v>
      </c>
      <c r="G55" s="20" t="n">
        <v>0</v>
      </c>
      <c r="H55" s="21" t="n">
        <v>1</v>
      </c>
      <c r="I55" s="22">
        <f>IFERROR(ROUNDUP(D55*F55*(1+G55)/H55,0),0)</f>
        <v/>
      </c>
      <c r="J55" s="23" t="n">
        <v>135</v>
      </c>
      <c r="K55" s="24">
        <f>I55*J55</f>
        <v/>
      </c>
      <c r="L55" s="17" t="inlineStr"/>
    </row>
    <row r="56">
      <c r="A56" s="15" t="inlineStr">
        <is>
          <t>12.0</t>
        </is>
      </c>
      <c r="B56" s="15" t="inlineStr">
        <is>
          <t>REVESTIMENTOS DE PAREDE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>
      <c r="A57" s="3" t="inlineStr">
        <is>
          <t>12.01</t>
        </is>
      </c>
      <c r="B57" s="17" t="inlineStr">
        <is>
          <t>Cimento CP-II 50 kg – chapisco (1:3)</t>
        </is>
      </c>
      <c r="C57" s="3" t="inlineStr">
        <is>
          <t>sc</t>
        </is>
      </c>
      <c r="D57" s="18">
        <f>Premissas!$C$4</f>
        <v/>
      </c>
      <c r="E57" s="3" t="inlineStr">
        <is>
          <t>m²</t>
        </is>
      </c>
      <c r="F57" s="19" t="n">
        <v>2.4</v>
      </c>
      <c r="G57" s="25">
        <f>Premissas!$C$23</f>
        <v/>
      </c>
      <c r="H57" s="21" t="n">
        <v>50</v>
      </c>
      <c r="I57" s="22">
        <f>IFERROR(ROUNDUP(D57*F57*(1+G57)/H57,0),0)</f>
        <v/>
      </c>
      <c r="J57" s="23" t="n">
        <v>39</v>
      </c>
      <c r="K57" s="24">
        <f>I57*J57</f>
        <v/>
      </c>
      <c r="L57" s="17" t="inlineStr">
        <is>
          <t>Chapisco ≈ 2,4 kg cimento/m²</t>
        </is>
      </c>
    </row>
    <row r="58">
      <c r="A58" s="3" t="inlineStr">
        <is>
          <t>12.01</t>
        </is>
      </c>
      <c r="B58" s="17" t="inlineStr">
        <is>
          <t>Areia grossa lavada (m³) – chapisco</t>
        </is>
      </c>
      <c r="C58" s="3" t="inlineStr">
        <is>
          <t>m³</t>
        </is>
      </c>
      <c r="D58" s="18">
        <f>Premissas!$C$4</f>
        <v/>
      </c>
      <c r="E58" s="3" t="inlineStr">
        <is>
          <t>m²</t>
        </is>
      </c>
      <c r="F58" s="19" t="n">
        <v>0.0055</v>
      </c>
      <c r="G58" s="25">
        <f>Premissas!$C$23</f>
        <v/>
      </c>
      <c r="H58" s="21" t="n">
        <v>1</v>
      </c>
      <c r="I58" s="22">
        <f>IFERROR(ROUNDUP(D58*F58*(1+G58)/H58,0),0)</f>
        <v/>
      </c>
      <c r="J58" s="23" t="n">
        <v>175</v>
      </c>
      <c r="K58" s="24">
        <f>I58*J58</f>
        <v/>
      </c>
      <c r="L58" s="17" t="inlineStr"/>
    </row>
    <row r="59">
      <c r="A59" s="3" t="inlineStr">
        <is>
          <t>12.01</t>
        </is>
      </c>
      <c r="B59" s="17" t="inlineStr">
        <is>
          <t>Aditivo adesivo p/ chapisco (tipo Bianco, 18 L)</t>
        </is>
      </c>
      <c r="C59" s="3" t="inlineStr">
        <is>
          <t>bd</t>
        </is>
      </c>
      <c r="D59" s="18">
        <f>Premissas!$C$4</f>
        <v/>
      </c>
      <c r="E59" s="3" t="inlineStr">
        <is>
          <t>m²</t>
        </is>
      </c>
      <c r="F59" s="19" t="n">
        <v>0.08</v>
      </c>
      <c r="G59" s="25">
        <f>Premissas!$C$23</f>
        <v/>
      </c>
      <c r="H59" s="21" t="n">
        <v>18</v>
      </c>
      <c r="I59" s="22">
        <f>IFERROR(ROUNDUP(D59*F59*(1+G59)/H59,0),0)</f>
        <v/>
      </c>
      <c r="J59" s="23" t="n">
        <v>290</v>
      </c>
      <c r="K59" s="24">
        <f>I59*J59</f>
        <v/>
      </c>
      <c r="L59" s="17" t="inlineStr">
        <is>
          <t>≈ 0,08 L/m²</t>
        </is>
      </c>
    </row>
    <row r="60">
      <c r="A60" s="3" t="inlineStr">
        <is>
          <t>12.01</t>
        </is>
      </c>
      <c r="B60" s="17" t="inlineStr">
        <is>
          <t>Cimento CP-II 50 kg – reboco 2,5 cm (traço 1:2:8)</t>
        </is>
      </c>
      <c r="C60" s="3" t="inlineStr">
        <is>
          <t>sc</t>
        </is>
      </c>
      <c r="D60" s="18">
        <f>Premissas!$C$4</f>
        <v/>
      </c>
      <c r="E60" s="3" t="inlineStr">
        <is>
          <t>m²</t>
        </is>
      </c>
      <c r="F60" s="19" t="n">
        <v>4.5</v>
      </c>
      <c r="G60" s="25">
        <f>Premissas!$C$23</f>
        <v/>
      </c>
      <c r="H60" s="21" t="n">
        <v>50</v>
      </c>
      <c r="I60" s="22">
        <f>IFERROR(ROUNDUP(D60*F60*(1+G60)/H60,0),0)</f>
        <v/>
      </c>
      <c r="J60" s="23" t="n">
        <v>39</v>
      </c>
      <c r="K60" s="24">
        <f>I60*J60</f>
        <v/>
      </c>
      <c r="L60" s="17" t="inlineStr">
        <is>
          <t>≈ 4,5 kg/m² p/ 2,5 cm</t>
        </is>
      </c>
    </row>
    <row r="61">
      <c r="A61" s="3" t="inlineStr">
        <is>
          <t>12.01</t>
        </is>
      </c>
      <c r="B61" s="17" t="inlineStr">
        <is>
          <t>Cal hidratada CH-III 20 kg – reboco</t>
        </is>
      </c>
      <c r="C61" s="3" t="inlineStr">
        <is>
          <t>sc</t>
        </is>
      </c>
      <c r="D61" s="18">
        <f>Premissas!$C$4</f>
        <v/>
      </c>
      <c r="E61" s="3" t="inlineStr">
        <is>
          <t>m²</t>
        </is>
      </c>
      <c r="F61" s="19" t="n">
        <v>4.5</v>
      </c>
      <c r="G61" s="25">
        <f>Premissas!$C$23</f>
        <v/>
      </c>
      <c r="H61" s="21" t="n">
        <v>20</v>
      </c>
      <c r="I61" s="22">
        <f>IFERROR(ROUNDUP(D61*F61*(1+G61)/H61,0),0)</f>
        <v/>
      </c>
      <c r="J61" s="23" t="n">
        <v>19</v>
      </c>
      <c r="K61" s="24">
        <f>I61*J61</f>
        <v/>
      </c>
      <c r="L61" s="17" t="inlineStr"/>
    </row>
    <row r="62">
      <c r="A62" s="3" t="inlineStr">
        <is>
          <t>12.01</t>
        </is>
      </c>
      <c r="B62" s="17" t="inlineStr">
        <is>
          <t>Areia média lavada (m³) – reboco</t>
        </is>
      </c>
      <c r="C62" s="3" t="inlineStr">
        <is>
          <t>m³</t>
        </is>
      </c>
      <c r="D62" s="18">
        <f>Premissas!$C$4</f>
        <v/>
      </c>
      <c r="E62" s="3" t="inlineStr">
        <is>
          <t>m²</t>
        </is>
      </c>
      <c r="F62" s="19" t="n">
        <v>0.03</v>
      </c>
      <c r="G62" s="25">
        <f>Premissas!$C$23</f>
        <v/>
      </c>
      <c r="H62" s="21" t="n">
        <v>1</v>
      </c>
      <c r="I62" s="22">
        <f>IFERROR(ROUNDUP(D62*F62*(1+G62)/H62,0),0)</f>
        <v/>
      </c>
      <c r="J62" s="23" t="n">
        <v>170</v>
      </c>
      <c r="K62" s="24">
        <f>I62*J62</f>
        <v/>
      </c>
      <c r="L62" s="17" t="inlineStr"/>
    </row>
    <row r="63">
      <c r="A63" s="3" t="inlineStr">
        <is>
          <t>12.01</t>
        </is>
      </c>
      <c r="B63" s="17" t="inlineStr">
        <is>
          <t>Aditivo impermeabilizante p/ argamassa (18 L)</t>
        </is>
      </c>
      <c r="C63" s="3" t="inlineStr">
        <is>
          <t>bd</t>
        </is>
      </c>
      <c r="D63" s="18">
        <f>Premissas!$C$4</f>
        <v/>
      </c>
      <c r="E63" s="3" t="inlineStr">
        <is>
          <t>m²</t>
        </is>
      </c>
      <c r="F63" s="19" t="n">
        <v>0.1</v>
      </c>
      <c r="G63" s="25">
        <f>Premissas!$C$23</f>
        <v/>
      </c>
      <c r="H63" s="21" t="n">
        <v>18</v>
      </c>
      <c r="I63" s="22">
        <f>IFERROR(ROUNDUP(D63*F63*(1+G63)/H63,0),0)</f>
        <v/>
      </c>
      <c r="J63" s="23" t="n">
        <v>165</v>
      </c>
      <c r="K63" s="24">
        <f>I63*J63</f>
        <v/>
      </c>
      <c r="L63" s="17" t="inlineStr"/>
    </row>
    <row r="64">
      <c r="A64" s="3" t="inlineStr">
        <is>
          <t>12.01</t>
        </is>
      </c>
      <c r="B64" s="17" t="inlineStr">
        <is>
          <t>Granilha (pedrisco de mármore/granito) nº 0/1 p/ Fulget cinza médio – saco 40 kg</t>
        </is>
      </c>
      <c r="C64" s="3" t="inlineStr">
        <is>
          <t>sc</t>
        </is>
      </c>
      <c r="D64" s="18">
        <f>Premissas!$C$4</f>
        <v/>
      </c>
      <c r="E64" s="3" t="inlineStr">
        <is>
          <t>m²</t>
        </is>
      </c>
      <c r="F64" s="19" t="n">
        <v>18</v>
      </c>
      <c r="G64" s="25">
        <f>Premissas!$C$23</f>
        <v/>
      </c>
      <c r="H64" s="21" t="n">
        <v>40</v>
      </c>
      <c r="I64" s="22">
        <f>IFERROR(ROUNDUP(D64*F64*(1+G64)/H64,0),0)</f>
        <v/>
      </c>
      <c r="J64" s="23" t="n">
        <v>42</v>
      </c>
      <c r="K64" s="24">
        <f>I64*J64</f>
        <v/>
      </c>
      <c r="L64" s="17" t="inlineStr">
        <is>
          <t>≈ 18 kg/m² (espessura ≈ 1,2 cm)</t>
        </is>
      </c>
    </row>
    <row r="65">
      <c r="A65" s="3" t="inlineStr">
        <is>
          <t>12.01</t>
        </is>
      </c>
      <c r="B65" s="17" t="inlineStr">
        <is>
          <t>Cimento branco estrutural 40 kg – Fulget</t>
        </is>
      </c>
      <c r="C65" s="3" t="inlineStr">
        <is>
          <t>sc</t>
        </is>
      </c>
      <c r="D65" s="18">
        <f>Premissas!$C$4</f>
        <v/>
      </c>
      <c r="E65" s="3" t="inlineStr">
        <is>
          <t>m²</t>
        </is>
      </c>
      <c r="F65" s="19" t="n">
        <v>6</v>
      </c>
      <c r="G65" s="25">
        <f>Premissas!$C$23</f>
        <v/>
      </c>
      <c r="H65" s="21" t="n">
        <v>40</v>
      </c>
      <c r="I65" s="22">
        <f>IFERROR(ROUNDUP(D65*F65*(1+G65)/H65,0),0)</f>
        <v/>
      </c>
      <c r="J65" s="23" t="n">
        <v>78</v>
      </c>
      <c r="K65" s="24">
        <f>I65*J65</f>
        <v/>
      </c>
      <c r="L65" s="17" t="inlineStr">
        <is>
          <t>≈ 6 kg/m²; tom cinza com mistura de cimento cinza conforme amostra</t>
        </is>
      </c>
    </row>
    <row r="66">
      <c r="A66" s="3" t="inlineStr">
        <is>
          <t>12.01</t>
        </is>
      </c>
      <c r="B66" s="17" t="inlineStr">
        <is>
          <t>Perfil de junta de dilatação 1" (U) alumínio – barra 6 m</t>
        </is>
      </c>
      <c r="C66" s="3" t="inlineStr">
        <is>
          <t>br</t>
        </is>
      </c>
      <c r="D66" s="18">
        <f>Premissas!$C$4</f>
        <v/>
      </c>
      <c r="E66" s="3" t="inlineStr">
        <is>
          <t>m²</t>
        </is>
      </c>
      <c r="F66" s="27">
        <f>1/Premissas!$C$25</f>
        <v/>
      </c>
      <c r="G66" s="25">
        <f>Premissas!$C$23</f>
        <v/>
      </c>
      <c r="H66" s="21" t="n">
        <v>6</v>
      </c>
      <c r="I66" s="22">
        <f>IFERROR(ROUNDUP(D66*F66*(1+G66)/H66,0),0)</f>
        <v/>
      </c>
      <c r="J66" s="23" t="n">
        <v>72</v>
      </c>
      <c r="K66" s="24">
        <f>I66*J66</f>
        <v/>
      </c>
      <c r="L66" s="17" t="inlineStr">
        <is>
          <t>Juntas horizontais a cada ≈ 1,85 m (projeto DET.02 indica perfil U em aço 1")</t>
        </is>
      </c>
    </row>
    <row r="67">
      <c r="A67" s="3" t="inlineStr">
        <is>
          <t>12.01</t>
        </is>
      </c>
      <c r="B67" s="17" t="inlineStr">
        <is>
          <t>Resina acrílica impermeabilizante p/ Fulget (base solvente, 18 L)</t>
        </is>
      </c>
      <c r="C67" s="3" t="inlineStr">
        <is>
          <t>lt</t>
        </is>
      </c>
      <c r="D67" s="18">
        <f>Premissas!$C$4</f>
        <v/>
      </c>
      <c r="E67" s="3" t="inlineStr">
        <is>
          <t>m²</t>
        </is>
      </c>
      <c r="F67" s="19" t="n">
        <v>1</v>
      </c>
      <c r="G67" s="25">
        <f>Premissas!$C$23</f>
        <v/>
      </c>
      <c r="H67" s="21" t="n">
        <v>70</v>
      </c>
      <c r="I67" s="22">
        <f>IFERROR(ROUNDUP(D67*F67*(1+G67)/H67,0),0)</f>
        <v/>
      </c>
      <c r="J67" s="23" t="n">
        <v>390</v>
      </c>
      <c r="K67" s="24">
        <f>I67*J67</f>
        <v/>
      </c>
      <c r="L67" s="17" t="inlineStr">
        <is>
          <t>2 demãos; ≈ 70 m²/lata</t>
        </is>
      </c>
    </row>
    <row r="68">
      <c r="A68" s="3" t="inlineStr">
        <is>
          <t>12.01</t>
        </is>
      </c>
      <c r="B68" s="17" t="inlineStr">
        <is>
          <t>Ácido muriático diluído p/ limpeza (galão 5 L)</t>
        </is>
      </c>
      <c r="C68" s="3" t="inlineStr">
        <is>
          <t>gl</t>
        </is>
      </c>
      <c r="D68" s="18">
        <f>Premissas!$C$4</f>
        <v/>
      </c>
      <c r="E68" s="3" t="inlineStr">
        <is>
          <t>m²</t>
        </is>
      </c>
      <c r="F68" s="19" t="n">
        <v>0.07000000000000001</v>
      </c>
      <c r="G68" s="25">
        <f>Premissas!$C$23</f>
        <v/>
      </c>
      <c r="H68" s="21" t="n">
        <v>5</v>
      </c>
      <c r="I68" s="22">
        <f>IFERROR(ROUNDUP(D68*F68*(1+G68)/H68,0),0)</f>
        <v/>
      </c>
      <c r="J68" s="23" t="n">
        <v>38</v>
      </c>
      <c r="K68" s="24">
        <f>I68*J68</f>
        <v/>
      </c>
      <c r="L68" s="17" t="inlineStr"/>
    </row>
    <row r="69">
      <c r="A69" s="3" t="inlineStr">
        <is>
          <t>12.01</t>
        </is>
      </c>
      <c r="B69" s="17" t="inlineStr">
        <is>
          <t>Tela galvanizada p/ reforço de reboco em encontros/vergas (rolo 50 m × 0,25 m)</t>
        </is>
      </c>
      <c r="C69" s="3" t="inlineStr">
        <is>
          <t>rl</t>
        </is>
      </c>
      <c r="D69" s="18">
        <f>Premissas!$C$4</f>
        <v/>
      </c>
      <c r="E69" s="3" t="inlineStr">
        <is>
          <t>m²</t>
        </is>
      </c>
      <c r="F69" s="19" t="n">
        <v>0.02</v>
      </c>
      <c r="G69" s="25">
        <f>Premissas!$C$23</f>
        <v/>
      </c>
      <c r="H69" s="21" t="n">
        <v>1</v>
      </c>
      <c r="I69" s="22">
        <f>IFERROR(ROUNDUP(D69*F69*(1+G69)/H69,0),0)</f>
        <v/>
      </c>
      <c r="J69" s="23" t="n">
        <v>95</v>
      </c>
      <c r="K69" s="24">
        <f>I69*J69</f>
        <v/>
      </c>
      <c r="L69" s="17" t="inlineStr">
        <is>
          <t>≈ 1 m de tela a cada 50 m²… ajustar</t>
        </is>
      </c>
    </row>
    <row r="70">
      <c r="A70" s="3" t="inlineStr">
        <is>
          <t>12.02</t>
        </is>
      </c>
      <c r="B70" s="17" t="inlineStr">
        <is>
          <t>Cimento CP-II 50 kg – chapisco (1:3)</t>
        </is>
      </c>
      <c r="C70" s="3" t="inlineStr">
        <is>
          <t>sc</t>
        </is>
      </c>
      <c r="D70" s="18">
        <f>Premissas!$C$5</f>
        <v/>
      </c>
      <c r="E70" s="3" t="inlineStr">
        <is>
          <t>m²</t>
        </is>
      </c>
      <c r="F70" s="19" t="n">
        <v>2.4</v>
      </c>
      <c r="G70" s="25">
        <f>Premissas!$C$23</f>
        <v/>
      </c>
      <c r="H70" s="21" t="n">
        <v>50</v>
      </c>
      <c r="I70" s="22">
        <f>IFERROR(ROUNDUP(D70*F70*(1+G70)/H70,0),0)</f>
        <v/>
      </c>
      <c r="J70" s="23" t="n">
        <v>39</v>
      </c>
      <c r="K70" s="24">
        <f>I70*J70</f>
        <v/>
      </c>
      <c r="L70" s="17" t="inlineStr">
        <is>
          <t>Chapisco ≈ 2,4 kg cimento/m²</t>
        </is>
      </c>
    </row>
    <row r="71">
      <c r="A71" s="3" t="inlineStr">
        <is>
          <t>12.02</t>
        </is>
      </c>
      <c r="B71" s="17" t="inlineStr">
        <is>
          <t>Areia grossa lavada (m³) – chapisco</t>
        </is>
      </c>
      <c r="C71" s="3" t="inlineStr">
        <is>
          <t>m³</t>
        </is>
      </c>
      <c r="D71" s="18">
        <f>Premissas!$C$5</f>
        <v/>
      </c>
      <c r="E71" s="3" t="inlineStr">
        <is>
          <t>m²</t>
        </is>
      </c>
      <c r="F71" s="19" t="n">
        <v>0.0055</v>
      </c>
      <c r="G71" s="25">
        <f>Premissas!$C$23</f>
        <v/>
      </c>
      <c r="H71" s="21" t="n">
        <v>1</v>
      </c>
      <c r="I71" s="22">
        <f>IFERROR(ROUNDUP(D71*F71*(1+G71)/H71,0),0)</f>
        <v/>
      </c>
      <c r="J71" s="23" t="n">
        <v>175</v>
      </c>
      <c r="K71" s="24">
        <f>I71*J71</f>
        <v/>
      </c>
      <c r="L71" s="17" t="inlineStr"/>
    </row>
    <row r="72">
      <c r="A72" s="3" t="inlineStr">
        <is>
          <t>12.02</t>
        </is>
      </c>
      <c r="B72" s="17" t="inlineStr">
        <is>
          <t>Aditivo adesivo p/ chapisco (tipo Bianco, 18 L)</t>
        </is>
      </c>
      <c r="C72" s="3" t="inlineStr">
        <is>
          <t>bd</t>
        </is>
      </c>
      <c r="D72" s="18">
        <f>Premissas!$C$5</f>
        <v/>
      </c>
      <c r="E72" s="3" t="inlineStr">
        <is>
          <t>m²</t>
        </is>
      </c>
      <c r="F72" s="19" t="n">
        <v>0.08</v>
      </c>
      <c r="G72" s="25">
        <f>Premissas!$C$23</f>
        <v/>
      </c>
      <c r="H72" s="21" t="n">
        <v>18</v>
      </c>
      <c r="I72" s="22">
        <f>IFERROR(ROUNDUP(D72*F72*(1+G72)/H72,0),0)</f>
        <v/>
      </c>
      <c r="J72" s="23" t="n">
        <v>290</v>
      </c>
      <c r="K72" s="24">
        <f>I72*J72</f>
        <v/>
      </c>
      <c r="L72" s="17" t="inlineStr">
        <is>
          <t>≈ 0,08 L/m²</t>
        </is>
      </c>
    </row>
    <row r="73">
      <c r="A73" s="3" t="inlineStr">
        <is>
          <t>12.02</t>
        </is>
      </c>
      <c r="B73" s="17" t="inlineStr">
        <is>
          <t>Cimento CP-II 50 kg – reboco 2,5 cm (traço 1:2:8)</t>
        </is>
      </c>
      <c r="C73" s="3" t="inlineStr">
        <is>
          <t>sc</t>
        </is>
      </c>
      <c r="D73" s="18">
        <f>Premissas!$C$5</f>
        <v/>
      </c>
      <c r="E73" s="3" t="inlineStr">
        <is>
          <t>m²</t>
        </is>
      </c>
      <c r="F73" s="19" t="n">
        <v>4.5</v>
      </c>
      <c r="G73" s="25">
        <f>Premissas!$C$23</f>
        <v/>
      </c>
      <c r="H73" s="21" t="n">
        <v>50</v>
      </c>
      <c r="I73" s="22">
        <f>IFERROR(ROUNDUP(D73*F73*(1+G73)/H73,0),0)</f>
        <v/>
      </c>
      <c r="J73" s="23" t="n">
        <v>39</v>
      </c>
      <c r="K73" s="24">
        <f>I73*J73</f>
        <v/>
      </c>
      <c r="L73" s="17" t="inlineStr">
        <is>
          <t>≈ 4,5 kg/m² p/ 2,5 cm</t>
        </is>
      </c>
    </row>
    <row r="74">
      <c r="A74" s="3" t="inlineStr">
        <is>
          <t>12.02</t>
        </is>
      </c>
      <c r="B74" s="17" t="inlineStr">
        <is>
          <t>Cal hidratada CH-III 20 kg – reboco</t>
        </is>
      </c>
      <c r="C74" s="3" t="inlineStr">
        <is>
          <t>sc</t>
        </is>
      </c>
      <c r="D74" s="18">
        <f>Premissas!$C$5</f>
        <v/>
      </c>
      <c r="E74" s="3" t="inlineStr">
        <is>
          <t>m²</t>
        </is>
      </c>
      <c r="F74" s="19" t="n">
        <v>4.5</v>
      </c>
      <c r="G74" s="25">
        <f>Premissas!$C$23</f>
        <v/>
      </c>
      <c r="H74" s="21" t="n">
        <v>20</v>
      </c>
      <c r="I74" s="22">
        <f>IFERROR(ROUNDUP(D74*F74*(1+G74)/H74,0),0)</f>
        <v/>
      </c>
      <c r="J74" s="23" t="n">
        <v>19</v>
      </c>
      <c r="K74" s="24">
        <f>I74*J74</f>
        <v/>
      </c>
      <c r="L74" s="17" t="inlineStr"/>
    </row>
    <row r="75">
      <c r="A75" s="3" t="inlineStr">
        <is>
          <t>12.02</t>
        </is>
      </c>
      <c r="B75" s="17" t="inlineStr">
        <is>
          <t>Areia média lavada (m³) – reboco</t>
        </is>
      </c>
      <c r="C75" s="3" t="inlineStr">
        <is>
          <t>m³</t>
        </is>
      </c>
      <c r="D75" s="18">
        <f>Premissas!$C$5</f>
        <v/>
      </c>
      <c r="E75" s="3" t="inlineStr">
        <is>
          <t>m²</t>
        </is>
      </c>
      <c r="F75" s="19" t="n">
        <v>0.03</v>
      </c>
      <c r="G75" s="25">
        <f>Premissas!$C$23</f>
        <v/>
      </c>
      <c r="H75" s="21" t="n">
        <v>1</v>
      </c>
      <c r="I75" s="22">
        <f>IFERROR(ROUNDUP(D75*F75*(1+G75)/H75,0),0)</f>
        <v/>
      </c>
      <c r="J75" s="23" t="n">
        <v>170</v>
      </c>
      <c r="K75" s="24">
        <f>I75*J75</f>
        <v/>
      </c>
      <c r="L75" s="17" t="inlineStr"/>
    </row>
    <row r="76">
      <c r="A76" s="3" t="inlineStr">
        <is>
          <t>12.02</t>
        </is>
      </c>
      <c r="B76" s="17" t="inlineStr">
        <is>
          <t>Aditivo impermeabilizante p/ argamassa (18 L)</t>
        </is>
      </c>
      <c r="C76" s="3" t="inlineStr">
        <is>
          <t>bd</t>
        </is>
      </c>
      <c r="D76" s="18">
        <f>Premissas!$C$5</f>
        <v/>
      </c>
      <c r="E76" s="3" t="inlineStr">
        <is>
          <t>m²</t>
        </is>
      </c>
      <c r="F76" s="19" t="n">
        <v>0.1</v>
      </c>
      <c r="G76" s="25">
        <f>Premissas!$C$23</f>
        <v/>
      </c>
      <c r="H76" s="21" t="n">
        <v>18</v>
      </c>
      <c r="I76" s="22">
        <f>IFERROR(ROUNDUP(D76*F76*(1+G76)/H76,0),0)</f>
        <v/>
      </c>
      <c r="J76" s="23" t="n">
        <v>165</v>
      </c>
      <c r="K76" s="24">
        <f>I76*J76</f>
        <v/>
      </c>
      <c r="L76" s="17" t="inlineStr"/>
    </row>
    <row r="77">
      <c r="A77" s="3" t="inlineStr">
        <is>
          <t>12.02</t>
        </is>
      </c>
      <c r="B77" s="17" t="inlineStr">
        <is>
          <t>Granilha (pedrisco de mármore/granito) nº 0/1 p/ Fulget cinza claro – saco 40 kg</t>
        </is>
      </c>
      <c r="C77" s="3" t="inlineStr">
        <is>
          <t>sc</t>
        </is>
      </c>
      <c r="D77" s="18">
        <f>Premissas!$C$5</f>
        <v/>
      </c>
      <c r="E77" s="3" t="inlineStr">
        <is>
          <t>m²</t>
        </is>
      </c>
      <c r="F77" s="19" t="n">
        <v>18</v>
      </c>
      <c r="G77" s="25">
        <f>Premissas!$C$23</f>
        <v/>
      </c>
      <c r="H77" s="21" t="n">
        <v>40</v>
      </c>
      <c r="I77" s="22">
        <f>IFERROR(ROUNDUP(D77*F77*(1+G77)/H77,0),0)</f>
        <v/>
      </c>
      <c r="J77" s="23" t="n">
        <v>42</v>
      </c>
      <c r="K77" s="24">
        <f>I77*J77</f>
        <v/>
      </c>
      <c r="L77" s="17" t="inlineStr">
        <is>
          <t>≈ 18 kg/m² (espessura ≈ 1,2 cm)</t>
        </is>
      </c>
    </row>
    <row r="78">
      <c r="A78" s="3" t="inlineStr">
        <is>
          <t>12.02</t>
        </is>
      </c>
      <c r="B78" s="17" t="inlineStr">
        <is>
          <t>Cimento branco estrutural 40 kg – Fulget</t>
        </is>
      </c>
      <c r="C78" s="3" t="inlineStr">
        <is>
          <t>sc</t>
        </is>
      </c>
      <c r="D78" s="18">
        <f>Premissas!$C$5</f>
        <v/>
      </c>
      <c r="E78" s="3" t="inlineStr">
        <is>
          <t>m²</t>
        </is>
      </c>
      <c r="F78" s="19" t="n">
        <v>6</v>
      </c>
      <c r="G78" s="25">
        <f>Premissas!$C$23</f>
        <v/>
      </c>
      <c r="H78" s="21" t="n">
        <v>40</v>
      </c>
      <c r="I78" s="22">
        <f>IFERROR(ROUNDUP(D78*F78*(1+G78)/H78,0),0)</f>
        <v/>
      </c>
      <c r="J78" s="23" t="n">
        <v>78</v>
      </c>
      <c r="K78" s="24">
        <f>I78*J78</f>
        <v/>
      </c>
      <c r="L78" s="17" t="inlineStr">
        <is>
          <t>≈ 6 kg/m²; tom cinza com mistura de cimento cinza conforme amostra</t>
        </is>
      </c>
    </row>
    <row r="79">
      <c r="A79" s="3" t="inlineStr">
        <is>
          <t>12.02</t>
        </is>
      </c>
      <c r="B79" s="17" t="inlineStr">
        <is>
          <t>Perfil de junta de dilatação 1" (U) alumínio – barra 6 m</t>
        </is>
      </c>
      <c r="C79" s="3" t="inlineStr">
        <is>
          <t>br</t>
        </is>
      </c>
      <c r="D79" s="18">
        <f>Premissas!$C$5</f>
        <v/>
      </c>
      <c r="E79" s="3" t="inlineStr">
        <is>
          <t>m²</t>
        </is>
      </c>
      <c r="F79" s="27">
        <f>1/Premissas!$C$25</f>
        <v/>
      </c>
      <c r="G79" s="25">
        <f>Premissas!$C$23</f>
        <v/>
      </c>
      <c r="H79" s="21" t="n">
        <v>6</v>
      </c>
      <c r="I79" s="22">
        <f>IFERROR(ROUNDUP(D79*F79*(1+G79)/H79,0),0)</f>
        <v/>
      </c>
      <c r="J79" s="23" t="n">
        <v>72</v>
      </c>
      <c r="K79" s="24">
        <f>I79*J79</f>
        <v/>
      </c>
      <c r="L79" s="17" t="inlineStr">
        <is>
          <t>Juntas horizontais a cada ≈ 1,85 m (projeto DET.02 indica perfil U em aço 1")</t>
        </is>
      </c>
    </row>
    <row r="80">
      <c r="A80" s="3" t="inlineStr">
        <is>
          <t>12.02</t>
        </is>
      </c>
      <c r="B80" s="17" t="inlineStr">
        <is>
          <t>Resina acrílica impermeabilizante p/ Fulget (base solvente, 18 L)</t>
        </is>
      </c>
      <c r="C80" s="3" t="inlineStr">
        <is>
          <t>lt</t>
        </is>
      </c>
      <c r="D80" s="18">
        <f>Premissas!$C$5</f>
        <v/>
      </c>
      <c r="E80" s="3" t="inlineStr">
        <is>
          <t>m²</t>
        </is>
      </c>
      <c r="F80" s="19" t="n">
        <v>1</v>
      </c>
      <c r="G80" s="25">
        <f>Premissas!$C$23</f>
        <v/>
      </c>
      <c r="H80" s="21" t="n">
        <v>70</v>
      </c>
      <c r="I80" s="22">
        <f>IFERROR(ROUNDUP(D80*F80*(1+G80)/H80,0),0)</f>
        <v/>
      </c>
      <c r="J80" s="23" t="n">
        <v>390</v>
      </c>
      <c r="K80" s="24">
        <f>I80*J80</f>
        <v/>
      </c>
      <c r="L80" s="17" t="inlineStr">
        <is>
          <t>2 demãos; ≈ 70 m²/lata</t>
        </is>
      </c>
    </row>
    <row r="81">
      <c r="A81" s="3" t="inlineStr">
        <is>
          <t>12.02</t>
        </is>
      </c>
      <c r="B81" s="17" t="inlineStr">
        <is>
          <t>Ácido muriático diluído p/ limpeza (galão 5 L)</t>
        </is>
      </c>
      <c r="C81" s="3" t="inlineStr">
        <is>
          <t>gl</t>
        </is>
      </c>
      <c r="D81" s="18">
        <f>Premissas!$C$5</f>
        <v/>
      </c>
      <c r="E81" s="3" t="inlineStr">
        <is>
          <t>m²</t>
        </is>
      </c>
      <c r="F81" s="19" t="n">
        <v>0.07000000000000001</v>
      </c>
      <c r="G81" s="25">
        <f>Premissas!$C$23</f>
        <v/>
      </c>
      <c r="H81" s="21" t="n">
        <v>5</v>
      </c>
      <c r="I81" s="22">
        <f>IFERROR(ROUNDUP(D81*F81*(1+G81)/H81,0),0)</f>
        <v/>
      </c>
      <c r="J81" s="23" t="n">
        <v>38</v>
      </c>
      <c r="K81" s="24">
        <f>I81*J81</f>
        <v/>
      </c>
      <c r="L81" s="17" t="inlineStr"/>
    </row>
    <row r="82">
      <c r="A82" s="3" t="inlineStr">
        <is>
          <t>12.02</t>
        </is>
      </c>
      <c r="B82" s="17" t="inlineStr">
        <is>
          <t>Tela galvanizada p/ reforço de reboco em encontros/vergas (rolo 50 m × 0,25 m)</t>
        </is>
      </c>
      <c r="C82" s="3" t="inlineStr">
        <is>
          <t>rl</t>
        </is>
      </c>
      <c r="D82" s="18">
        <f>Premissas!$C$5</f>
        <v/>
      </c>
      <c r="E82" s="3" t="inlineStr">
        <is>
          <t>m²</t>
        </is>
      </c>
      <c r="F82" s="19" t="n">
        <v>0.02</v>
      </c>
      <c r="G82" s="25">
        <f>Premissas!$C$23</f>
        <v/>
      </c>
      <c r="H82" s="21" t="n">
        <v>1</v>
      </c>
      <c r="I82" s="22">
        <f>IFERROR(ROUNDUP(D82*F82*(1+G82)/H82,0),0)</f>
        <v/>
      </c>
      <c r="J82" s="23" t="n">
        <v>95</v>
      </c>
      <c r="K82" s="24">
        <f>I82*J82</f>
        <v/>
      </c>
      <c r="L82" s="17" t="inlineStr">
        <is>
          <t>≈ 1 m de tela a cada 50 m²… ajustar</t>
        </is>
      </c>
    </row>
    <row r="83">
      <c r="A83" s="3" t="inlineStr">
        <is>
          <t>12.03</t>
        </is>
      </c>
      <c r="B83" s="17" t="inlineStr">
        <is>
          <t>Cimento CP-II 50 kg – chapisco (1:3)</t>
        </is>
      </c>
      <c r="C83" s="3" t="inlineStr">
        <is>
          <t>sc</t>
        </is>
      </c>
      <c r="D83" s="18">
        <f>Premissas!$C$6</f>
        <v/>
      </c>
      <c r="E83" s="3" t="inlineStr">
        <is>
          <t>m²</t>
        </is>
      </c>
      <c r="F83" s="19" t="n">
        <v>2.4</v>
      </c>
      <c r="G83" s="25">
        <f>Premissas!$C$23</f>
        <v/>
      </c>
      <c r="H83" s="21" t="n">
        <v>50</v>
      </c>
      <c r="I83" s="22">
        <f>IFERROR(ROUNDUP(D83*F83*(1+G83)/H83,0),0)</f>
        <v/>
      </c>
      <c r="J83" s="23" t="n">
        <v>39</v>
      </c>
      <c r="K83" s="24">
        <f>I83*J83</f>
        <v/>
      </c>
      <c r="L83" s="17" t="inlineStr">
        <is>
          <t>Chapisco ≈ 2,4 kg cimento/m²</t>
        </is>
      </c>
    </row>
    <row r="84">
      <c r="A84" s="3" t="inlineStr">
        <is>
          <t>12.03</t>
        </is>
      </c>
      <c r="B84" s="17" t="inlineStr">
        <is>
          <t>Areia grossa lavada (m³) – chapisco</t>
        </is>
      </c>
      <c r="C84" s="3" t="inlineStr">
        <is>
          <t>m³</t>
        </is>
      </c>
      <c r="D84" s="18">
        <f>Premissas!$C$6</f>
        <v/>
      </c>
      <c r="E84" s="3" t="inlineStr">
        <is>
          <t>m²</t>
        </is>
      </c>
      <c r="F84" s="19" t="n">
        <v>0.0055</v>
      </c>
      <c r="G84" s="25">
        <f>Premissas!$C$23</f>
        <v/>
      </c>
      <c r="H84" s="21" t="n">
        <v>1</v>
      </c>
      <c r="I84" s="22">
        <f>IFERROR(ROUNDUP(D84*F84*(1+G84)/H84,0),0)</f>
        <v/>
      </c>
      <c r="J84" s="23" t="n">
        <v>175</v>
      </c>
      <c r="K84" s="24">
        <f>I84*J84</f>
        <v/>
      </c>
      <c r="L84" s="17" t="inlineStr"/>
    </row>
    <row r="85">
      <c r="A85" s="3" t="inlineStr">
        <is>
          <t>12.03</t>
        </is>
      </c>
      <c r="B85" s="17" t="inlineStr">
        <is>
          <t>Aditivo adesivo p/ chapisco (tipo Bianco, 18 L)</t>
        </is>
      </c>
      <c r="C85" s="3" t="inlineStr">
        <is>
          <t>bd</t>
        </is>
      </c>
      <c r="D85" s="18">
        <f>Premissas!$C$6</f>
        <v/>
      </c>
      <c r="E85" s="3" t="inlineStr">
        <is>
          <t>m²</t>
        </is>
      </c>
      <c r="F85" s="19" t="n">
        <v>0.08</v>
      </c>
      <c r="G85" s="25">
        <f>Premissas!$C$23</f>
        <v/>
      </c>
      <c r="H85" s="21" t="n">
        <v>18</v>
      </c>
      <c r="I85" s="22">
        <f>IFERROR(ROUNDUP(D85*F85*(1+G85)/H85,0),0)</f>
        <v/>
      </c>
      <c r="J85" s="23" t="n">
        <v>290</v>
      </c>
      <c r="K85" s="24">
        <f>I85*J85</f>
        <v/>
      </c>
      <c r="L85" s="17" t="inlineStr">
        <is>
          <t>≈ 0,08 L/m²</t>
        </is>
      </c>
    </row>
    <row r="86">
      <c r="A86" s="3" t="inlineStr">
        <is>
          <t>12.03</t>
        </is>
      </c>
      <c r="B86" s="17" t="inlineStr">
        <is>
          <t>Cimento CP-II 50 kg – reboco 2,5 cm (traço 1:2:8)</t>
        </is>
      </c>
      <c r="C86" s="3" t="inlineStr">
        <is>
          <t>sc</t>
        </is>
      </c>
      <c r="D86" s="18">
        <f>Premissas!$C$6</f>
        <v/>
      </c>
      <c r="E86" s="3" t="inlineStr">
        <is>
          <t>m²</t>
        </is>
      </c>
      <c r="F86" s="19" t="n">
        <v>4.5</v>
      </c>
      <c r="G86" s="25">
        <f>Premissas!$C$23</f>
        <v/>
      </c>
      <c r="H86" s="21" t="n">
        <v>50</v>
      </c>
      <c r="I86" s="22">
        <f>IFERROR(ROUNDUP(D86*F86*(1+G86)/H86,0),0)</f>
        <v/>
      </c>
      <c r="J86" s="23" t="n">
        <v>39</v>
      </c>
      <c r="K86" s="24">
        <f>I86*J86</f>
        <v/>
      </c>
      <c r="L86" s="17" t="inlineStr">
        <is>
          <t>≈ 4,5 kg/m² p/ 2,5 cm</t>
        </is>
      </c>
    </row>
    <row r="87">
      <c r="A87" s="3" t="inlineStr">
        <is>
          <t>12.03</t>
        </is>
      </c>
      <c r="B87" s="17" t="inlineStr">
        <is>
          <t>Cal hidratada CH-III 20 kg – reboco</t>
        </is>
      </c>
      <c r="C87" s="3" t="inlineStr">
        <is>
          <t>sc</t>
        </is>
      </c>
      <c r="D87" s="18">
        <f>Premissas!$C$6</f>
        <v/>
      </c>
      <c r="E87" s="3" t="inlineStr">
        <is>
          <t>m²</t>
        </is>
      </c>
      <c r="F87" s="19" t="n">
        <v>4.5</v>
      </c>
      <c r="G87" s="25">
        <f>Premissas!$C$23</f>
        <v/>
      </c>
      <c r="H87" s="21" t="n">
        <v>20</v>
      </c>
      <c r="I87" s="22">
        <f>IFERROR(ROUNDUP(D87*F87*(1+G87)/H87,0),0)</f>
        <v/>
      </c>
      <c r="J87" s="23" t="n">
        <v>19</v>
      </c>
      <c r="K87" s="24">
        <f>I87*J87</f>
        <v/>
      </c>
      <c r="L87" s="17" t="inlineStr"/>
    </row>
    <row r="88">
      <c r="A88" s="3" t="inlineStr">
        <is>
          <t>12.03</t>
        </is>
      </c>
      <c r="B88" s="17" t="inlineStr">
        <is>
          <t>Areia média lavada (m³) – reboco</t>
        </is>
      </c>
      <c r="C88" s="3" t="inlineStr">
        <is>
          <t>m³</t>
        </is>
      </c>
      <c r="D88" s="18">
        <f>Premissas!$C$6</f>
        <v/>
      </c>
      <c r="E88" s="3" t="inlineStr">
        <is>
          <t>m²</t>
        </is>
      </c>
      <c r="F88" s="19" t="n">
        <v>0.03</v>
      </c>
      <c r="G88" s="25">
        <f>Premissas!$C$23</f>
        <v/>
      </c>
      <c r="H88" s="21" t="n">
        <v>1</v>
      </c>
      <c r="I88" s="22">
        <f>IFERROR(ROUNDUP(D88*F88*(1+G88)/H88,0),0)</f>
        <v/>
      </c>
      <c r="J88" s="23" t="n">
        <v>170</v>
      </c>
      <c r="K88" s="24">
        <f>I88*J88</f>
        <v/>
      </c>
      <c r="L88" s="17" t="inlineStr"/>
    </row>
    <row r="89">
      <c r="A89" s="3" t="inlineStr">
        <is>
          <t>12.03</t>
        </is>
      </c>
      <c r="B89" s="17" t="inlineStr">
        <is>
          <t>Aditivo impermeabilizante p/ argamassa (18 L)</t>
        </is>
      </c>
      <c r="C89" s="3" t="inlineStr">
        <is>
          <t>bd</t>
        </is>
      </c>
      <c r="D89" s="18">
        <f>Premissas!$C$6</f>
        <v/>
      </c>
      <c r="E89" s="3" t="inlineStr">
        <is>
          <t>m²</t>
        </is>
      </c>
      <c r="F89" s="19" t="n">
        <v>0.1</v>
      </c>
      <c r="G89" s="25">
        <f>Premissas!$C$23</f>
        <v/>
      </c>
      <c r="H89" s="21" t="n">
        <v>18</v>
      </c>
      <c r="I89" s="22">
        <f>IFERROR(ROUNDUP(D89*F89*(1+G89)/H89,0),0)</f>
        <v/>
      </c>
      <c r="J89" s="23" t="n">
        <v>165</v>
      </c>
      <c r="K89" s="24">
        <f>I89*J89</f>
        <v/>
      </c>
      <c r="L89" s="17" t="inlineStr"/>
    </row>
    <row r="90">
      <c r="A90" s="3" t="inlineStr">
        <is>
          <t>12.03</t>
        </is>
      </c>
      <c r="B90" s="17" t="inlineStr">
        <is>
          <t>Granilha (pedrisco de mármore/granito) nº 0/1 p/ Fulget vermelho – saco 40 kg</t>
        </is>
      </c>
      <c r="C90" s="3" t="inlineStr">
        <is>
          <t>sc</t>
        </is>
      </c>
      <c r="D90" s="18">
        <f>Premissas!$C$6</f>
        <v/>
      </c>
      <c r="E90" s="3" t="inlineStr">
        <is>
          <t>m²</t>
        </is>
      </c>
      <c r="F90" s="19" t="n">
        <v>18</v>
      </c>
      <c r="G90" s="25">
        <f>Premissas!$C$23</f>
        <v/>
      </c>
      <c r="H90" s="21" t="n">
        <v>40</v>
      </c>
      <c r="I90" s="22">
        <f>IFERROR(ROUNDUP(D90*F90*(1+G90)/H90,0),0)</f>
        <v/>
      </c>
      <c r="J90" s="23" t="n">
        <v>42</v>
      </c>
      <c r="K90" s="24">
        <f>I90*J90</f>
        <v/>
      </c>
      <c r="L90" s="17" t="inlineStr">
        <is>
          <t>≈ 18 kg/m² (espessura ≈ 1,2 cm)</t>
        </is>
      </c>
    </row>
    <row r="91">
      <c r="A91" s="3" t="inlineStr">
        <is>
          <t>12.03</t>
        </is>
      </c>
      <c r="B91" s="17" t="inlineStr">
        <is>
          <t>Cimento branco estrutural 40 kg – Fulget (base p/ pigmento)</t>
        </is>
      </c>
      <c r="C91" s="3" t="inlineStr">
        <is>
          <t>sc</t>
        </is>
      </c>
      <c r="D91" s="18">
        <f>Premissas!$C$6</f>
        <v/>
      </c>
      <c r="E91" s="3" t="inlineStr">
        <is>
          <t>m²</t>
        </is>
      </c>
      <c r="F91" s="19" t="n">
        <v>6</v>
      </c>
      <c r="G91" s="25">
        <f>Premissas!$C$23</f>
        <v/>
      </c>
      <c r="H91" s="21" t="n">
        <v>40</v>
      </c>
      <c r="I91" s="22">
        <f>IFERROR(ROUNDUP(D91*F91*(1+G91)/H91,0),0)</f>
        <v/>
      </c>
      <c r="J91" s="23" t="n">
        <v>78</v>
      </c>
      <c r="K91" s="24">
        <f>I91*J91</f>
        <v/>
      </c>
      <c r="L91" s="17" t="inlineStr">
        <is>
          <t>≈ 6 kg/m²; tom cinza com mistura de cimento cinza conforme amostra</t>
        </is>
      </c>
    </row>
    <row r="92">
      <c r="A92" s="3" t="inlineStr">
        <is>
          <t>12.03</t>
        </is>
      </c>
      <c r="B92" s="17" t="inlineStr">
        <is>
          <t>Pigmento óxido de ferro vermelho (kg)</t>
        </is>
      </c>
      <c r="C92" s="3" t="inlineStr">
        <is>
          <t>kg</t>
        </is>
      </c>
      <c r="D92" s="18">
        <f>Premissas!$C$6</f>
        <v/>
      </c>
      <c r="E92" s="3" t="inlineStr">
        <is>
          <t>m²</t>
        </is>
      </c>
      <c r="F92" s="19" t="n">
        <v>0.6</v>
      </c>
      <c r="G92" s="25">
        <f>Premissas!$C$23</f>
        <v/>
      </c>
      <c r="H92" s="21" t="n">
        <v>1</v>
      </c>
      <c r="I92" s="22">
        <f>IFERROR(ROUNDUP(D92*F92*(1+G92)/H92,0),0)</f>
        <v/>
      </c>
      <c r="J92" s="23" t="n">
        <v>28</v>
      </c>
      <c r="K92" s="24">
        <f>I92*J92</f>
        <v/>
      </c>
      <c r="L92" s="17" t="inlineStr"/>
    </row>
    <row r="93">
      <c r="A93" s="3" t="inlineStr">
        <is>
          <t>12.03</t>
        </is>
      </c>
      <c r="B93" s="17" t="inlineStr">
        <is>
          <t>Perfil de junta de dilatação 1" (U) alumínio – barra 6 m</t>
        </is>
      </c>
      <c r="C93" s="3" t="inlineStr">
        <is>
          <t>br</t>
        </is>
      </c>
      <c r="D93" s="18">
        <f>Premissas!$C$6</f>
        <v/>
      </c>
      <c r="E93" s="3" t="inlineStr">
        <is>
          <t>m²</t>
        </is>
      </c>
      <c r="F93" s="27">
        <f>1/Premissas!$C$25</f>
        <v/>
      </c>
      <c r="G93" s="25">
        <f>Premissas!$C$23</f>
        <v/>
      </c>
      <c r="H93" s="21" t="n">
        <v>6</v>
      </c>
      <c r="I93" s="22">
        <f>IFERROR(ROUNDUP(D93*F93*(1+G93)/H93,0),0)</f>
        <v/>
      </c>
      <c r="J93" s="23" t="n">
        <v>72</v>
      </c>
      <c r="K93" s="24">
        <f>I93*J93</f>
        <v/>
      </c>
      <c r="L93" s="17" t="inlineStr">
        <is>
          <t>Juntas horizontais a cada ≈ 1,85 m (projeto DET.02 indica perfil U em aço 1")</t>
        </is>
      </c>
    </row>
    <row r="94">
      <c r="A94" s="3" t="inlineStr">
        <is>
          <t>12.03</t>
        </is>
      </c>
      <c r="B94" s="17" t="inlineStr">
        <is>
          <t>Resina acrílica impermeabilizante p/ Fulget (base solvente, 18 L)</t>
        </is>
      </c>
      <c r="C94" s="3" t="inlineStr">
        <is>
          <t>lt</t>
        </is>
      </c>
      <c r="D94" s="18">
        <f>Premissas!$C$6</f>
        <v/>
      </c>
      <c r="E94" s="3" t="inlineStr">
        <is>
          <t>m²</t>
        </is>
      </c>
      <c r="F94" s="19" t="n">
        <v>1</v>
      </c>
      <c r="G94" s="25">
        <f>Premissas!$C$23</f>
        <v/>
      </c>
      <c r="H94" s="21" t="n">
        <v>70</v>
      </c>
      <c r="I94" s="22">
        <f>IFERROR(ROUNDUP(D94*F94*(1+G94)/H94,0),0)</f>
        <v/>
      </c>
      <c r="J94" s="23" t="n">
        <v>390</v>
      </c>
      <c r="K94" s="24">
        <f>I94*J94</f>
        <v/>
      </c>
      <c r="L94" s="17" t="inlineStr">
        <is>
          <t>2 demãos; ≈ 70 m²/lata</t>
        </is>
      </c>
    </row>
    <row r="95">
      <c r="A95" s="3" t="inlineStr">
        <is>
          <t>12.03</t>
        </is>
      </c>
      <c r="B95" s="17" t="inlineStr">
        <is>
          <t>Ácido muriático diluído p/ limpeza (galão 5 L)</t>
        </is>
      </c>
      <c r="C95" s="3" t="inlineStr">
        <is>
          <t>gl</t>
        </is>
      </c>
      <c r="D95" s="18">
        <f>Premissas!$C$6</f>
        <v/>
      </c>
      <c r="E95" s="3" t="inlineStr">
        <is>
          <t>m²</t>
        </is>
      </c>
      <c r="F95" s="19" t="n">
        <v>0.07000000000000001</v>
      </c>
      <c r="G95" s="25">
        <f>Premissas!$C$23</f>
        <v/>
      </c>
      <c r="H95" s="21" t="n">
        <v>5</v>
      </c>
      <c r="I95" s="22">
        <f>IFERROR(ROUNDUP(D95*F95*(1+G95)/H95,0),0)</f>
        <v/>
      </c>
      <c r="J95" s="23" t="n">
        <v>38</v>
      </c>
      <c r="K95" s="24">
        <f>I95*J95</f>
        <v/>
      </c>
      <c r="L95" s="17" t="inlineStr"/>
    </row>
    <row r="96">
      <c r="A96" s="3" t="inlineStr">
        <is>
          <t>12.03</t>
        </is>
      </c>
      <c r="B96" s="17" t="inlineStr">
        <is>
          <t>Tela galvanizada p/ reforço de reboco em encontros/vergas (rolo 50 m × 0,25 m)</t>
        </is>
      </c>
      <c r="C96" s="3" t="inlineStr">
        <is>
          <t>rl</t>
        </is>
      </c>
      <c r="D96" s="18">
        <f>Premissas!$C$6</f>
        <v/>
      </c>
      <c r="E96" s="3" t="inlineStr">
        <is>
          <t>m²</t>
        </is>
      </c>
      <c r="F96" s="19" t="n">
        <v>0.02</v>
      </c>
      <c r="G96" s="25">
        <f>Premissas!$C$23</f>
        <v/>
      </c>
      <c r="H96" s="21" t="n">
        <v>1</v>
      </c>
      <c r="I96" s="22">
        <f>IFERROR(ROUNDUP(D96*F96*(1+G96)/H96,0),0)</f>
        <v/>
      </c>
      <c r="J96" s="23" t="n">
        <v>95</v>
      </c>
      <c r="K96" s="24">
        <f>I96*J96</f>
        <v/>
      </c>
      <c r="L96" s="17" t="inlineStr">
        <is>
          <t>≈ 1 m de tela a cada 50 m²… ajustar</t>
        </is>
      </c>
    </row>
    <row r="97">
      <c r="A97" s="3" t="inlineStr">
        <is>
          <t>12.04</t>
        </is>
      </c>
      <c r="B97" s="17" t="inlineStr">
        <is>
          <t>Moldura cimentícia EPS 100x30 mm (barra 1,0 m)</t>
        </is>
      </c>
      <c r="C97" s="3" t="inlineStr">
        <is>
          <t>br</t>
        </is>
      </c>
      <c r="D97" s="18">
        <f>Premissas!$C$11</f>
        <v/>
      </c>
      <c r="E97" s="3" t="inlineStr">
        <is>
          <t>ml</t>
        </is>
      </c>
      <c r="F97" s="19" t="n">
        <v>1</v>
      </c>
      <c r="G97" s="25">
        <f>Premissas!$C$23</f>
        <v/>
      </c>
      <c r="H97" s="21" t="n">
        <v>1</v>
      </c>
      <c r="I97" s="22">
        <f>IFERROR(ROUNDUP(D97*F97*(1+G97)/H97,0),0)</f>
        <v/>
      </c>
      <c r="J97" s="23" t="n">
        <v>26</v>
      </c>
      <c r="K97" s="24">
        <f>I97*J97</f>
        <v/>
      </c>
      <c r="L97" s="17" t="inlineStr">
        <is>
          <t>Projeto prevê instalação em todos os caixilhos</t>
        </is>
      </c>
    </row>
    <row r="98">
      <c r="A98" s="3" t="inlineStr">
        <is>
          <t>12.04</t>
        </is>
      </c>
      <c r="B98" s="17" t="inlineStr">
        <is>
          <t>Argamassa colante / cola PU p/ fixação da moldura (saco 20 kg)</t>
        </is>
      </c>
      <c r="C98" s="3" t="inlineStr">
        <is>
          <t>sc</t>
        </is>
      </c>
      <c r="D98" s="18">
        <f>Premissas!$C$11</f>
        <v/>
      </c>
      <c r="E98" s="3" t="inlineStr">
        <is>
          <t>ml</t>
        </is>
      </c>
      <c r="F98" s="19" t="n">
        <v>0.6</v>
      </c>
      <c r="G98" s="25">
        <f>Premissas!$C$23</f>
        <v/>
      </c>
      <c r="H98" s="21" t="n">
        <v>20</v>
      </c>
      <c r="I98" s="22">
        <f>IFERROR(ROUNDUP(D98*F98*(1+G98)/H98,0),0)</f>
        <v/>
      </c>
      <c r="J98" s="23" t="n">
        <v>32</v>
      </c>
      <c r="K98" s="24">
        <f>I98*J98</f>
        <v/>
      </c>
      <c r="L98" s="17" t="inlineStr"/>
    </row>
    <row r="99">
      <c r="A99" s="3" t="inlineStr">
        <is>
          <t>12.04</t>
        </is>
      </c>
      <c r="B99" s="17" t="inlineStr">
        <is>
          <t>Tinta acrílica cinza claro p/ moldura (18 L)</t>
        </is>
      </c>
      <c r="C99" s="3" t="inlineStr">
        <is>
          <t>lt</t>
        </is>
      </c>
      <c r="D99" s="18">
        <f>Premissas!$C$11</f>
        <v/>
      </c>
      <c r="E99" s="3" t="inlineStr">
        <is>
          <t>ml</t>
        </is>
      </c>
      <c r="F99" s="19" t="n">
        <v>0.25</v>
      </c>
      <c r="G99" s="25">
        <f>Premissas!$C$23</f>
        <v/>
      </c>
      <c r="H99" s="21" t="n">
        <v>180</v>
      </c>
      <c r="I99" s="22">
        <f>IFERROR(ROUNDUP(D99*F99*(1+G99)/H99,0),0)</f>
        <v/>
      </c>
      <c r="J99" s="23" t="n">
        <v>360</v>
      </c>
      <c r="K99" s="24">
        <f>I99*J99</f>
        <v/>
      </c>
      <c r="L99" s="17" t="inlineStr">
        <is>
          <t>0,25 m² pintado por ml; 2 demãos inclusas no rendimento</t>
        </is>
      </c>
    </row>
    <row r="100">
      <c r="A100" s="3" t="inlineStr">
        <is>
          <t>12.05</t>
        </is>
      </c>
      <c r="B100" s="17" t="inlineStr">
        <is>
          <t>Painel ACM 4 mm vermelho institucional São Camilo (chapa 1,25×5,0 m)</t>
        </is>
      </c>
      <c r="C100" s="3" t="inlineStr">
        <is>
          <t>m²</t>
        </is>
      </c>
      <c r="D100" s="18">
        <f>Premissas!$C$8</f>
        <v/>
      </c>
      <c r="E100" s="3" t="inlineStr">
        <is>
          <t>m²</t>
        </is>
      </c>
      <c r="F100" s="19" t="n">
        <v>1</v>
      </c>
      <c r="G100" s="20" t="n">
        <v>0.15</v>
      </c>
      <c r="H100" s="21" t="n">
        <v>1</v>
      </c>
      <c r="I100" s="22">
        <f>IFERROR(ROUNDUP(D100*F100*(1+G100)/H100,0),0)</f>
        <v/>
      </c>
      <c r="J100" s="23" t="n">
        <v>165</v>
      </c>
      <c r="K100" s="24">
        <f>I100*J100</f>
        <v/>
      </c>
      <c r="L100" s="17" t="inlineStr">
        <is>
          <t>Cor especial: cotar com amostra. Perda de dobras/cortes 15%</t>
        </is>
      </c>
    </row>
    <row r="101">
      <c r="A101" s="3" t="inlineStr">
        <is>
          <t>12.05</t>
        </is>
      </c>
      <c r="B101" s="17" t="inlineStr">
        <is>
          <t>Tubo metalon galvanizado 40x20 #18 (subestrutura) – barra 6 m</t>
        </is>
      </c>
      <c r="C101" s="3" t="inlineStr">
        <is>
          <t>br</t>
        </is>
      </c>
      <c r="D101" s="18">
        <f>Premissas!$C$8</f>
        <v/>
      </c>
      <c r="E101" s="3" t="inlineStr">
        <is>
          <t>m²</t>
        </is>
      </c>
      <c r="F101" s="19" t="n">
        <v>2.5</v>
      </c>
      <c r="G101" s="25">
        <f>Premissas!$C$23</f>
        <v/>
      </c>
      <c r="H101" s="21" t="n">
        <v>6</v>
      </c>
      <c r="I101" s="22">
        <f>IFERROR(ROUNDUP(D101*F101*(1+G101)/H101,0),0)</f>
        <v/>
      </c>
      <c r="J101" s="23" t="n">
        <v>92</v>
      </c>
      <c r="K101" s="24">
        <f>I101*J101</f>
        <v/>
      </c>
      <c r="L101" s="17" t="inlineStr">
        <is>
          <t>≈ 2,5 m/m²</t>
        </is>
      </c>
    </row>
    <row r="102">
      <c r="A102" s="3" t="inlineStr">
        <is>
          <t>12.05</t>
        </is>
      </c>
      <c r="B102" s="17" t="inlineStr">
        <is>
          <t>Cantoneira/suporte galvanizado + chumbador parabolt 3/8"</t>
        </is>
      </c>
      <c r="C102" s="3" t="inlineStr">
        <is>
          <t>un</t>
        </is>
      </c>
      <c r="D102" s="18">
        <f>Premissas!$C$8</f>
        <v/>
      </c>
      <c r="E102" s="3" t="inlineStr">
        <is>
          <t>m²</t>
        </is>
      </c>
      <c r="F102" s="19" t="n">
        <v>2</v>
      </c>
      <c r="G102" s="25">
        <f>Premissas!$C$23</f>
        <v/>
      </c>
      <c r="H102" s="21" t="n">
        <v>1</v>
      </c>
      <c r="I102" s="22">
        <f>IFERROR(ROUNDUP(D102*F102*(1+G102)/H102,0),0)</f>
        <v/>
      </c>
      <c r="J102" s="23" t="n">
        <v>9.5</v>
      </c>
      <c r="K102" s="24">
        <f>I102*J102</f>
        <v/>
      </c>
      <c r="L102" s="17" t="inlineStr"/>
    </row>
    <row r="103">
      <c r="A103" s="3" t="inlineStr">
        <is>
          <t>12.05</t>
        </is>
      </c>
      <c r="B103" s="17" t="inlineStr">
        <is>
          <t>Rebite de alumínio 4,8 mm / parafuso autobrocante inox</t>
        </is>
      </c>
      <c r="C103" s="3" t="inlineStr">
        <is>
          <t>un</t>
        </is>
      </c>
      <c r="D103" s="18">
        <f>Premissas!$C$8</f>
        <v/>
      </c>
      <c r="E103" s="3" t="inlineStr">
        <is>
          <t>m²</t>
        </is>
      </c>
      <c r="F103" s="19" t="n">
        <v>25</v>
      </c>
      <c r="G103" s="25">
        <f>Premissas!$C$23</f>
        <v/>
      </c>
      <c r="H103" s="21" t="n">
        <v>1</v>
      </c>
      <c r="I103" s="22">
        <f>IFERROR(ROUNDUP(D103*F103*(1+G103)/H103,0),0)</f>
        <v/>
      </c>
      <c r="J103" s="23" t="n">
        <v>0.35</v>
      </c>
      <c r="K103" s="24">
        <f>I103*J103</f>
        <v/>
      </c>
      <c r="L103" s="17" t="inlineStr"/>
    </row>
    <row r="104">
      <c r="A104" s="3" t="inlineStr">
        <is>
          <t>12.05</t>
        </is>
      </c>
      <c r="B104" s="17" t="inlineStr">
        <is>
          <t>Silicone neutro estrutural / mastique PU (sachê 600 ml)</t>
        </is>
      </c>
      <c r="C104" s="3" t="inlineStr">
        <is>
          <t>sc</t>
        </is>
      </c>
      <c r="D104" s="18">
        <f>Premissas!$C$8</f>
        <v/>
      </c>
      <c r="E104" s="3" t="inlineStr">
        <is>
          <t>m²</t>
        </is>
      </c>
      <c r="F104" s="19" t="n">
        <v>0.25</v>
      </c>
      <c r="G104" s="25">
        <f>Premissas!$C$23</f>
        <v/>
      </c>
      <c r="H104" s="21" t="n">
        <v>1</v>
      </c>
      <c r="I104" s="22">
        <f>IFERROR(ROUNDUP(D104*F104*(1+G104)/H104,0),0)</f>
        <v/>
      </c>
      <c r="J104" s="23" t="n">
        <v>48</v>
      </c>
      <c r="K104" s="24">
        <f>I104*J104</f>
        <v/>
      </c>
      <c r="L104" s="17" t="inlineStr">
        <is>
          <t>Vedação das juntas</t>
        </is>
      </c>
    </row>
    <row r="105">
      <c r="A105" s="3" t="inlineStr">
        <is>
          <t>12.05</t>
        </is>
      </c>
      <c r="B105" s="17" t="inlineStr">
        <is>
          <t>Delimitador de junta (tarucel) 10 mm</t>
        </is>
      </c>
      <c r="C105" s="3" t="inlineStr">
        <is>
          <t>m</t>
        </is>
      </c>
      <c r="D105" s="18">
        <f>Premissas!$C$8</f>
        <v/>
      </c>
      <c r="E105" s="3" t="inlineStr">
        <is>
          <t>m²</t>
        </is>
      </c>
      <c r="F105" s="19" t="n">
        <v>1.2</v>
      </c>
      <c r="G105" s="25">
        <f>Premissas!$C$23</f>
        <v/>
      </c>
      <c r="H105" s="21" t="n">
        <v>1</v>
      </c>
      <c r="I105" s="22">
        <f>IFERROR(ROUNDUP(D105*F105*(1+G105)/H105,0),0)</f>
        <v/>
      </c>
      <c r="J105" s="23" t="n">
        <v>1.4</v>
      </c>
      <c r="K105" s="24">
        <f>I105*J105</f>
        <v/>
      </c>
      <c r="L105" s="17" t="inlineStr"/>
    </row>
    <row r="106">
      <c r="A106" s="3" t="inlineStr">
        <is>
          <t>12.05</t>
        </is>
      </c>
      <c r="B106" s="17" t="inlineStr">
        <is>
          <t>Fita dupla face estrutural (VHB) 19 mm – rolo 20 m</t>
        </is>
      </c>
      <c r="C106" s="3" t="inlineStr">
        <is>
          <t>rl</t>
        </is>
      </c>
      <c r="D106" s="18">
        <f>Premissas!$C$8</f>
        <v/>
      </c>
      <c r="E106" s="3" t="inlineStr">
        <is>
          <t>m²</t>
        </is>
      </c>
      <c r="F106" s="19" t="n">
        <v>1</v>
      </c>
      <c r="G106" s="25">
        <f>Premissas!$C$23</f>
        <v/>
      </c>
      <c r="H106" s="21" t="n">
        <v>20</v>
      </c>
      <c r="I106" s="22">
        <f>IFERROR(ROUNDUP(D106*F106*(1+G106)/H106,0),0)</f>
        <v/>
      </c>
      <c r="J106" s="23" t="n">
        <v>145</v>
      </c>
      <c r="K106" s="24">
        <f>I106*J106</f>
        <v/>
      </c>
      <c r="L106" s="17" t="inlineStr"/>
    </row>
    <row r="107">
      <c r="A107" s="3" t="inlineStr">
        <is>
          <t>12.06</t>
        </is>
      </c>
      <c r="B107" s="17" t="inlineStr">
        <is>
          <t>Painel ACM 4 mm cinza médio (chapa 1,25×5,0 m)</t>
        </is>
      </c>
      <c r="C107" s="3" t="inlineStr">
        <is>
          <t>m²</t>
        </is>
      </c>
      <c r="D107" s="18">
        <f>Premissas!$C$9</f>
        <v/>
      </c>
      <c r="E107" s="3" t="inlineStr">
        <is>
          <t>m²</t>
        </is>
      </c>
      <c r="F107" s="19" t="n">
        <v>1</v>
      </c>
      <c r="G107" s="20" t="n">
        <v>0.15</v>
      </c>
      <c r="H107" s="21" t="n">
        <v>1</v>
      </c>
      <c r="I107" s="22">
        <f>IFERROR(ROUNDUP(D107*F107*(1+G107)/H107,0),0)</f>
        <v/>
      </c>
      <c r="J107" s="23" t="n">
        <v>165</v>
      </c>
      <c r="K107" s="24">
        <f>I107*J107</f>
        <v/>
      </c>
      <c r="L107" s="17" t="inlineStr">
        <is>
          <t>Cor especial: cotar com amostra. Perda de dobras/cortes 15%</t>
        </is>
      </c>
    </row>
    <row r="108">
      <c r="A108" s="3" t="inlineStr">
        <is>
          <t>12.06</t>
        </is>
      </c>
      <c r="B108" s="17" t="inlineStr">
        <is>
          <t>Tubo metalon galvanizado 40x20 #18 (subestrutura) – barra 6 m</t>
        </is>
      </c>
      <c r="C108" s="3" t="inlineStr">
        <is>
          <t>br</t>
        </is>
      </c>
      <c r="D108" s="18">
        <f>Premissas!$C$9</f>
        <v/>
      </c>
      <c r="E108" s="3" t="inlineStr">
        <is>
          <t>m²</t>
        </is>
      </c>
      <c r="F108" s="19" t="n">
        <v>2.5</v>
      </c>
      <c r="G108" s="25">
        <f>Premissas!$C$23</f>
        <v/>
      </c>
      <c r="H108" s="21" t="n">
        <v>6</v>
      </c>
      <c r="I108" s="22">
        <f>IFERROR(ROUNDUP(D108*F108*(1+G108)/H108,0),0)</f>
        <v/>
      </c>
      <c r="J108" s="23" t="n">
        <v>92</v>
      </c>
      <c r="K108" s="24">
        <f>I108*J108</f>
        <v/>
      </c>
      <c r="L108" s="17" t="inlineStr">
        <is>
          <t>≈ 2,5 m/m²</t>
        </is>
      </c>
    </row>
    <row r="109">
      <c r="A109" s="3" t="inlineStr">
        <is>
          <t>12.06</t>
        </is>
      </c>
      <c r="B109" s="17" t="inlineStr">
        <is>
          <t>Cantoneira/suporte galvanizado + chumbador parabolt 3/8"</t>
        </is>
      </c>
      <c r="C109" s="3" t="inlineStr">
        <is>
          <t>un</t>
        </is>
      </c>
      <c r="D109" s="18">
        <f>Premissas!$C$9</f>
        <v/>
      </c>
      <c r="E109" s="3" t="inlineStr">
        <is>
          <t>m²</t>
        </is>
      </c>
      <c r="F109" s="19" t="n">
        <v>2</v>
      </c>
      <c r="G109" s="25">
        <f>Premissas!$C$23</f>
        <v/>
      </c>
      <c r="H109" s="21" t="n">
        <v>1</v>
      </c>
      <c r="I109" s="22">
        <f>IFERROR(ROUNDUP(D109*F109*(1+G109)/H109,0),0)</f>
        <v/>
      </c>
      <c r="J109" s="23" t="n">
        <v>9.5</v>
      </c>
      <c r="K109" s="24">
        <f>I109*J109</f>
        <v/>
      </c>
      <c r="L109" s="17" t="inlineStr"/>
    </row>
    <row r="110">
      <c r="A110" s="3" t="inlineStr">
        <is>
          <t>12.06</t>
        </is>
      </c>
      <c r="B110" s="17" t="inlineStr">
        <is>
          <t>Rebite de alumínio 4,8 mm / parafuso autobrocante inox</t>
        </is>
      </c>
      <c r="C110" s="3" t="inlineStr">
        <is>
          <t>un</t>
        </is>
      </c>
      <c r="D110" s="18">
        <f>Premissas!$C$9</f>
        <v/>
      </c>
      <c r="E110" s="3" t="inlineStr">
        <is>
          <t>m²</t>
        </is>
      </c>
      <c r="F110" s="19" t="n">
        <v>25</v>
      </c>
      <c r="G110" s="25">
        <f>Premissas!$C$23</f>
        <v/>
      </c>
      <c r="H110" s="21" t="n">
        <v>1</v>
      </c>
      <c r="I110" s="22">
        <f>IFERROR(ROUNDUP(D110*F110*(1+G110)/H110,0),0)</f>
        <v/>
      </c>
      <c r="J110" s="23" t="n">
        <v>0.35</v>
      </c>
      <c r="K110" s="24">
        <f>I110*J110</f>
        <v/>
      </c>
      <c r="L110" s="17" t="inlineStr"/>
    </row>
    <row r="111">
      <c r="A111" s="3" t="inlineStr">
        <is>
          <t>12.06</t>
        </is>
      </c>
      <c r="B111" s="17" t="inlineStr">
        <is>
          <t>Silicone neutro estrutural / mastique PU (sachê 600 ml)</t>
        </is>
      </c>
      <c r="C111" s="3" t="inlineStr">
        <is>
          <t>sc</t>
        </is>
      </c>
      <c r="D111" s="18">
        <f>Premissas!$C$9</f>
        <v/>
      </c>
      <c r="E111" s="3" t="inlineStr">
        <is>
          <t>m²</t>
        </is>
      </c>
      <c r="F111" s="19" t="n">
        <v>0.25</v>
      </c>
      <c r="G111" s="25">
        <f>Premissas!$C$23</f>
        <v/>
      </c>
      <c r="H111" s="21" t="n">
        <v>1</v>
      </c>
      <c r="I111" s="22">
        <f>IFERROR(ROUNDUP(D111*F111*(1+G111)/H111,0),0)</f>
        <v/>
      </c>
      <c r="J111" s="23" t="n">
        <v>48</v>
      </c>
      <c r="K111" s="24">
        <f>I111*J111</f>
        <v/>
      </c>
      <c r="L111" s="17" t="inlineStr">
        <is>
          <t>Vedação das juntas</t>
        </is>
      </c>
    </row>
    <row r="112">
      <c r="A112" s="3" t="inlineStr">
        <is>
          <t>12.06</t>
        </is>
      </c>
      <c r="B112" s="17" t="inlineStr">
        <is>
          <t>Delimitador de junta (tarucel) 10 mm</t>
        </is>
      </c>
      <c r="C112" s="3" t="inlineStr">
        <is>
          <t>m</t>
        </is>
      </c>
      <c r="D112" s="18">
        <f>Premissas!$C$9</f>
        <v/>
      </c>
      <c r="E112" s="3" t="inlineStr">
        <is>
          <t>m²</t>
        </is>
      </c>
      <c r="F112" s="19" t="n">
        <v>1.2</v>
      </c>
      <c r="G112" s="25">
        <f>Premissas!$C$23</f>
        <v/>
      </c>
      <c r="H112" s="21" t="n">
        <v>1</v>
      </c>
      <c r="I112" s="22">
        <f>IFERROR(ROUNDUP(D112*F112*(1+G112)/H112,0),0)</f>
        <v/>
      </c>
      <c r="J112" s="23" t="n">
        <v>1.4</v>
      </c>
      <c r="K112" s="24">
        <f>I112*J112</f>
        <v/>
      </c>
      <c r="L112" s="17" t="inlineStr"/>
    </row>
    <row r="113">
      <c r="A113" s="3" t="inlineStr">
        <is>
          <t>12.06</t>
        </is>
      </c>
      <c r="B113" s="17" t="inlineStr">
        <is>
          <t>Fita dupla face estrutural (VHB) 19 mm – rolo 20 m</t>
        </is>
      </c>
      <c r="C113" s="3" t="inlineStr">
        <is>
          <t>rl</t>
        </is>
      </c>
      <c r="D113" s="18">
        <f>Premissas!$C$9</f>
        <v/>
      </c>
      <c r="E113" s="3" t="inlineStr">
        <is>
          <t>m²</t>
        </is>
      </c>
      <c r="F113" s="19" t="n">
        <v>1</v>
      </c>
      <c r="G113" s="25">
        <f>Premissas!$C$23</f>
        <v/>
      </c>
      <c r="H113" s="21" t="n">
        <v>20</v>
      </c>
      <c r="I113" s="22">
        <f>IFERROR(ROUNDUP(D113*F113*(1+G113)/H113,0),0)</f>
        <v/>
      </c>
      <c r="J113" s="23" t="n">
        <v>145</v>
      </c>
      <c r="K113" s="24">
        <f>I113*J113</f>
        <v/>
      </c>
      <c r="L113" s="17" t="inlineStr"/>
    </row>
    <row r="114">
      <c r="A114" s="15" t="inlineStr">
        <is>
          <t>14.0</t>
        </is>
      </c>
      <c r="B114" s="15" t="inlineStr">
        <is>
          <t>ESQUADRIAS, PORTAS E CAIXILHOS</t>
        </is>
      </c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</row>
    <row r="115">
      <c r="A115" s="3" t="inlineStr">
        <is>
          <t>14.01</t>
        </is>
      </c>
      <c r="B115" s="17" t="inlineStr">
        <is>
          <t>Tela metálica galvanizada ondulada (artística) malha 20 mm</t>
        </is>
      </c>
      <c r="C115" s="3" t="inlineStr">
        <is>
          <t>m²</t>
        </is>
      </c>
      <c r="D115" s="26" t="n">
        <v>3</v>
      </c>
      <c r="E115" s="3" t="inlineStr">
        <is>
          <t>janela</t>
        </is>
      </c>
      <c r="F115" s="19" t="n">
        <v>5.5</v>
      </c>
      <c r="G115" s="25">
        <f>Premissas!$C$23</f>
        <v/>
      </c>
      <c r="H115" s="21" t="n">
        <v>1</v>
      </c>
      <c r="I115" s="22">
        <f>IFERROR(ROUNDUP(D115*F115*(1+G115)/H115,0),0)</f>
        <v/>
      </c>
      <c r="J115" s="23" t="n">
        <v>95</v>
      </c>
      <c r="K115" s="24">
        <f>I115*J115</f>
        <v/>
      </c>
      <c r="L115" s="17" t="inlineStr">
        <is>
          <t>3 janelas ≈ 2,70×2,0 m</t>
        </is>
      </c>
    </row>
    <row r="116">
      <c r="A116" s="3" t="inlineStr">
        <is>
          <t>14.01</t>
        </is>
      </c>
      <c r="B116" s="17" t="inlineStr">
        <is>
          <t>Requadro em cantoneira + parafusos p/ fixação da tela</t>
        </is>
      </c>
      <c r="C116" s="3" t="inlineStr">
        <is>
          <t>cj</t>
        </is>
      </c>
      <c r="D116" s="26" t="n">
        <v>3</v>
      </c>
      <c r="E116" s="3" t="inlineStr">
        <is>
          <t>janela</t>
        </is>
      </c>
      <c r="F116" s="19" t="n">
        <v>1</v>
      </c>
      <c r="G116" s="25">
        <f>Premissas!$C$23</f>
        <v/>
      </c>
      <c r="H116" s="21" t="n">
        <v>1</v>
      </c>
      <c r="I116" s="22">
        <f>IFERROR(ROUNDUP(D116*F116*(1+G116)/H116,0),0)</f>
        <v/>
      </c>
      <c r="J116" s="23" t="n">
        <v>180</v>
      </c>
      <c r="K116" s="24">
        <f>I116*J116</f>
        <v/>
      </c>
      <c r="L116" s="17" t="inlineStr"/>
    </row>
    <row r="117">
      <c r="A117" s="15" t="inlineStr">
        <is>
          <t>18.0</t>
        </is>
      </c>
      <c r="B117" s="15" t="inlineStr">
        <is>
          <t>IMPERMEABILIZAÇÃO</t>
        </is>
      </c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</row>
    <row r="118">
      <c r="A118" s="3" t="inlineStr">
        <is>
          <t>18.01</t>
        </is>
      </c>
      <c r="B118" s="17" t="inlineStr">
        <is>
          <t>Sistema Viaplus 7000 (caixa 18 kg)</t>
        </is>
      </c>
      <c r="C118" s="3" t="inlineStr">
        <is>
          <t>cx</t>
        </is>
      </c>
      <c r="D118" s="26" t="n">
        <v>0</v>
      </c>
      <c r="E118" s="3" t="inlineStr">
        <is>
          <t>m²</t>
        </is>
      </c>
      <c r="F118" s="19" t="n">
        <v>4</v>
      </c>
      <c r="G118" s="20" t="n">
        <v>0</v>
      </c>
      <c r="H118" s="21" t="n">
        <v>18</v>
      </c>
      <c r="I118" s="22">
        <f>IFERROR(ROUNDUP(D118*F118*(1+G118)/H118,0),0)</f>
        <v/>
      </c>
      <c r="J118" s="23" t="n">
        <v>360</v>
      </c>
      <c r="K118" s="24">
        <f>I118*J118</f>
        <v/>
      </c>
      <c r="L118" s="17" t="inlineStr">
        <is>
          <t>Planilha com quantidade 0 – preencher se necessário</t>
        </is>
      </c>
    </row>
    <row r="119">
      <c r="A119" s="15" t="inlineStr">
        <is>
          <t>23.0</t>
        </is>
      </c>
      <c r="B119" s="15" t="inlineStr">
        <is>
          <t>TELHADOS E COBERTURAS</t>
        </is>
      </c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</row>
    <row r="120">
      <c r="A120" s="3" t="inlineStr">
        <is>
          <t>23.01</t>
        </is>
      </c>
      <c r="B120" s="17" t="inlineStr">
        <is>
          <t>Calha/rufo em chapa galvalume #22 (0,8 mm), desenvolvimento até 60 cm</t>
        </is>
      </c>
      <c r="C120" s="3" t="inlineStr">
        <is>
          <t>m</t>
        </is>
      </c>
      <c r="D120" s="18">
        <f>Premissas!$C$16</f>
        <v/>
      </c>
      <c r="E120" s="3" t="inlineStr">
        <is>
          <t>ml</t>
        </is>
      </c>
      <c r="F120" s="19" t="n">
        <v>1</v>
      </c>
      <c r="G120" s="25">
        <f>Premissas!$C$23</f>
        <v/>
      </c>
      <c r="H120" s="21" t="n">
        <v>1</v>
      </c>
      <c r="I120" s="22">
        <f>IFERROR(ROUNDUP(D120*F120*(1+G120)/H120,0),0)</f>
        <v/>
      </c>
      <c r="J120" s="23" t="n">
        <v>95</v>
      </c>
      <c r="K120" s="24">
        <f>I120*J120</f>
        <v/>
      </c>
      <c r="L120" s="17" t="inlineStr">
        <is>
          <t>Dobrada sob medida</t>
        </is>
      </c>
    </row>
    <row r="121">
      <c r="A121" s="3" t="inlineStr">
        <is>
          <t>23.01</t>
        </is>
      </c>
      <c r="B121" s="17" t="inlineStr">
        <is>
          <t>Condutor retangular galvalume #26 (0,5 mm)</t>
        </is>
      </c>
      <c r="C121" s="3" t="inlineStr">
        <is>
          <t>m</t>
        </is>
      </c>
      <c r="D121" s="18">
        <f>Premissas!$C$16</f>
        <v/>
      </c>
      <c r="E121" s="3" t="inlineStr">
        <is>
          <t>ml</t>
        </is>
      </c>
      <c r="F121" s="19" t="n">
        <v>0.6</v>
      </c>
      <c r="G121" s="25">
        <f>Premissas!$C$23</f>
        <v/>
      </c>
      <c r="H121" s="21" t="n">
        <v>1</v>
      </c>
      <c r="I121" s="22">
        <f>IFERROR(ROUNDUP(D121*F121*(1+G121)/H121,0),0)</f>
        <v/>
      </c>
      <c r="J121" s="23" t="n">
        <v>62</v>
      </c>
      <c r="K121" s="24">
        <f>I121*J121</f>
        <v/>
      </c>
      <c r="L121" s="17" t="inlineStr">
        <is>
          <t>Estimado 0,6 m de condutor por m de calha</t>
        </is>
      </c>
    </row>
    <row r="122">
      <c r="A122" s="3" t="inlineStr">
        <is>
          <t>23.01</t>
        </is>
      </c>
      <c r="B122" s="17" t="inlineStr">
        <is>
          <t>Suporte/escápula de calha</t>
        </is>
      </c>
      <c r="C122" s="3" t="inlineStr">
        <is>
          <t>un</t>
        </is>
      </c>
      <c r="D122" s="18">
        <f>Premissas!$C$16</f>
        <v/>
      </c>
      <c r="E122" s="3" t="inlineStr">
        <is>
          <t>ml</t>
        </is>
      </c>
      <c r="F122" s="19" t="n">
        <v>1.25</v>
      </c>
      <c r="G122" s="25">
        <f>Premissas!$C$23</f>
        <v/>
      </c>
      <c r="H122" s="21" t="n">
        <v>1</v>
      </c>
      <c r="I122" s="22">
        <f>IFERROR(ROUNDUP(D122*F122*(1+G122)/H122,0),0)</f>
        <v/>
      </c>
      <c r="J122" s="23" t="n">
        <v>9</v>
      </c>
      <c r="K122" s="24">
        <f>I122*J122</f>
        <v/>
      </c>
      <c r="L122" s="17" t="inlineStr">
        <is>
          <t>A cada 80 cm</t>
        </is>
      </c>
    </row>
    <row r="123">
      <c r="A123" s="3" t="inlineStr">
        <is>
          <t>23.01</t>
        </is>
      </c>
      <c r="B123" s="17" t="inlineStr">
        <is>
          <t>Rebite hermético vedado</t>
        </is>
      </c>
      <c r="C123" s="3" t="inlineStr">
        <is>
          <t>cto</t>
        </is>
      </c>
      <c r="D123" s="18">
        <f>Premissas!$C$16</f>
        <v/>
      </c>
      <c r="E123" s="3" t="inlineStr">
        <is>
          <t>ml</t>
        </is>
      </c>
      <c r="F123" s="19" t="n">
        <v>12</v>
      </c>
      <c r="G123" s="25">
        <f>Premissas!$C$23</f>
        <v/>
      </c>
      <c r="H123" s="21" t="n">
        <v>100</v>
      </c>
      <c r="I123" s="22">
        <f>IFERROR(ROUNDUP(D123*F123*(1+G123)/H123,0),0)</f>
        <v/>
      </c>
      <c r="J123" s="23" t="n">
        <v>48</v>
      </c>
      <c r="K123" s="24">
        <f>I123*J123</f>
        <v/>
      </c>
      <c r="L123" s="17" t="inlineStr">
        <is>
          <t>Cento</t>
        </is>
      </c>
    </row>
    <row r="124">
      <c r="A124" s="3" t="inlineStr">
        <is>
          <t>23.01</t>
        </is>
      </c>
      <c r="B124" s="17" t="inlineStr">
        <is>
          <t>Selante PU c/ proteção UV (tubo 400 g)</t>
        </is>
      </c>
      <c r="C124" s="3" t="inlineStr">
        <is>
          <t>tb</t>
        </is>
      </c>
      <c r="D124" s="18">
        <f>Premissas!$C$16</f>
        <v/>
      </c>
      <c r="E124" s="3" t="inlineStr">
        <is>
          <t>ml</t>
        </is>
      </c>
      <c r="F124" s="19" t="n">
        <v>0.3</v>
      </c>
      <c r="G124" s="25">
        <f>Premissas!$C$23</f>
        <v/>
      </c>
      <c r="H124" s="21" t="n">
        <v>1</v>
      </c>
      <c r="I124" s="22">
        <f>IFERROR(ROUNDUP(D124*F124*(1+G124)/H124,0),0)</f>
        <v/>
      </c>
      <c r="J124" s="23" t="n">
        <v>39</v>
      </c>
      <c r="K124" s="24">
        <f>I124*J124</f>
        <v/>
      </c>
      <c r="L124" s="17" t="inlineStr"/>
    </row>
    <row r="125">
      <c r="A125" s="3" t="inlineStr">
        <is>
          <t>23.01</t>
        </is>
      </c>
      <c r="B125" s="17" t="inlineStr">
        <is>
          <t>Fundo p/ galvanizados (galão 3,6 L)</t>
        </is>
      </c>
      <c r="C125" s="3" t="inlineStr">
        <is>
          <t>gl</t>
        </is>
      </c>
      <c r="D125" s="18">
        <f>Premissas!$C$16</f>
        <v/>
      </c>
      <c r="E125" s="3" t="inlineStr">
        <is>
          <t>ml</t>
        </is>
      </c>
      <c r="F125" s="19" t="n">
        <v>0.5</v>
      </c>
      <c r="G125" s="25">
        <f>Premissas!$C$23</f>
        <v/>
      </c>
      <c r="H125" s="21" t="n">
        <v>35</v>
      </c>
      <c r="I125" s="22">
        <f>IFERROR(ROUNDUP(D125*F125*(1+G125)/H125,0),0)</f>
        <v/>
      </c>
      <c r="J125" s="23" t="n">
        <v>185</v>
      </c>
      <c r="K125" s="24">
        <f>I125*J125</f>
        <v/>
      </c>
      <c r="L125" s="17" t="inlineStr">
        <is>
          <t>Pintura externa das calhas</t>
        </is>
      </c>
    </row>
    <row r="126">
      <c r="A126" s="3" t="inlineStr">
        <is>
          <t>23.01</t>
        </is>
      </c>
      <c r="B126" s="17" t="inlineStr">
        <is>
          <t>Esmalte sintético branco (galão 3,6 L)</t>
        </is>
      </c>
      <c r="C126" s="3" t="inlineStr">
        <is>
          <t>gl</t>
        </is>
      </c>
      <c r="D126" s="18">
        <f>Premissas!$C$16</f>
        <v/>
      </c>
      <c r="E126" s="3" t="inlineStr">
        <is>
          <t>ml</t>
        </is>
      </c>
      <c r="F126" s="19" t="n">
        <v>0.5</v>
      </c>
      <c r="G126" s="25">
        <f>Premissas!$C$23</f>
        <v/>
      </c>
      <c r="H126" s="21" t="n">
        <v>40</v>
      </c>
      <c r="I126" s="22">
        <f>IFERROR(ROUNDUP(D126*F126*(1+G126)/H126,0),0)</f>
        <v/>
      </c>
      <c r="J126" s="23" t="n">
        <v>150</v>
      </c>
      <c r="K126" s="24">
        <f>I126*J126</f>
        <v/>
      </c>
      <c r="L126" s="17" t="inlineStr">
        <is>
          <t>2 demãos</t>
        </is>
      </c>
    </row>
    <row r="128">
      <c r="J128" s="11" t="inlineStr">
        <is>
          <t>TOTAL MATERIAIS</t>
        </is>
      </c>
      <c r="K128" s="28">
        <f>SUM(K2:K126)</f>
        <v/>
      </c>
    </row>
    <row r="130">
      <c r="A130" s="10" t="inlineStr">
        <is>
          <t>Qtde a comprar = ARREDONDAR.PARA.CIMA(Base × Consumo × (1 + Perda) ÷ Rendimento). Editar só as células azuis/amarelas.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  <col width="70" customWidth="1" min="8" max="8"/>
  </cols>
  <sheetData>
    <row r="1" ht="32" customHeight="1">
      <c r="A1" s="2" t="inlineStr">
        <is>
          <t>Item</t>
        </is>
      </c>
      <c r="B1" s="2" t="inlineStr">
        <is>
          <t>Equipamento / locação</t>
        </is>
      </c>
      <c r="C1" s="2" t="inlineStr">
        <is>
          <t>Unid.</t>
        </is>
      </c>
      <c r="D1" s="2" t="inlineStr">
        <is>
          <t>Qtde</t>
        </is>
      </c>
      <c r="E1" s="2" t="inlineStr">
        <is>
          <t>Períodos (meses/vezes)</t>
        </is>
      </c>
      <c r="F1" s="2" t="inlineStr">
        <is>
          <t>Preço unit. SP (R$)</t>
        </is>
      </c>
      <c r="G1" s="2" t="inlineStr">
        <is>
          <t>Total (R$)</t>
        </is>
      </c>
      <c r="H1" s="2" t="inlineStr">
        <is>
          <t>Observação</t>
        </is>
      </c>
    </row>
    <row r="2">
      <c r="A2" s="3" t="n">
        <v>1</v>
      </c>
      <c r="B2" s="17" t="inlineStr">
        <is>
          <t>Andaime fachadeiro tubular – locação (m² de fachada × mês)</t>
        </is>
      </c>
      <c r="C2" s="3" t="inlineStr">
        <is>
          <t>m²×mês</t>
        </is>
      </c>
      <c r="D2" s="29">
        <f>Premissas!$C$19*Premissas!$C$20</f>
        <v/>
      </c>
      <c r="E2" s="29">
        <f>Premissas!$C$21-1</f>
        <v/>
      </c>
      <c r="F2" s="23" t="n">
        <v>23</v>
      </c>
      <c r="G2" s="24">
        <f>D2*E2*F2</f>
        <v/>
      </c>
      <c r="H2" s="17" t="inlineStr">
        <is>
          <t>SINAPI 05/2026 média nacional R$ 21,00/m²×mês; SP costuma ficar entre R$ 18 e R$ 28. Sem montagem</t>
        </is>
      </c>
    </row>
    <row r="3">
      <c r="A3" s="3" t="n">
        <v>2</v>
      </c>
      <c r="B3" s="17" t="inlineStr">
        <is>
          <t>Montagem + desmontagem de andaime (mão de obra da locadora)</t>
        </is>
      </c>
      <c r="C3" s="3" t="inlineStr">
        <is>
          <t>m²</t>
        </is>
      </c>
      <c r="D3" s="29">
        <f>Premissas!$C$19</f>
        <v/>
      </c>
      <c r="E3" s="21" t="n">
        <v>1</v>
      </c>
      <c r="F3" s="23" t="n">
        <v>9</v>
      </c>
      <c r="G3" s="24">
        <f>D3*E3*F3</f>
        <v/>
      </c>
      <c r="H3" s="17" t="inlineStr">
        <is>
          <t>Mobilização por trecho; confirmar se a locadora inclui</t>
        </is>
      </c>
    </row>
    <row r="4">
      <c r="A4" s="3" t="n">
        <v>3</v>
      </c>
      <c r="B4" s="17" t="inlineStr">
        <is>
          <t>Tela fachadeira de proteção (polietileno, rolo 3×50 m) – EPC NR-18</t>
        </is>
      </c>
      <c r="C4" s="3" t="inlineStr">
        <is>
          <t>m²</t>
        </is>
      </c>
      <c r="D4" s="29">
        <f>Premissas!$C$19*Premissas!$C$20</f>
        <v/>
      </c>
      <c r="E4" s="21" t="n">
        <v>1</v>
      </c>
      <c r="F4" s="23" t="n">
        <v>4.2</v>
      </c>
      <c r="G4" s="24">
        <f>D4*E4*F4</f>
        <v/>
      </c>
      <c r="H4" s="17" t="inlineStr">
        <is>
          <t>Compra; reaproveitada entre trechos</t>
        </is>
      </c>
    </row>
    <row r="5">
      <c r="A5" s="3" t="n">
        <v>4</v>
      </c>
      <c r="B5" s="17" t="inlineStr">
        <is>
          <t>Plataforma elevatória articulada 15–16 m (diesel)</t>
        </is>
      </c>
      <c r="C5" s="3" t="inlineStr">
        <is>
          <t>mês</t>
        </is>
      </c>
      <c r="D5" s="21" t="n">
        <v>1</v>
      </c>
      <c r="E5" s="21" t="n">
        <v>2</v>
      </c>
      <c r="F5" s="23" t="n">
        <v>15500</v>
      </c>
      <c r="G5" s="24">
        <f>D5*E5*F5</f>
        <v/>
      </c>
      <c r="H5" s="17" t="inlineStr">
        <is>
          <t>ACM, calhas, refletores e pontos sem andaime; + frete abaixo</t>
        </is>
      </c>
    </row>
    <row r="6">
      <c r="A6" s="3" t="n">
        <v>5</v>
      </c>
      <c r="B6" s="17" t="inlineStr">
        <is>
          <t>Frete ida/volta plataforma articulada</t>
        </is>
      </c>
      <c r="C6" s="3" t="inlineStr">
        <is>
          <t>vez</t>
        </is>
      </c>
      <c r="D6" s="21" t="n">
        <v>1</v>
      </c>
      <c r="E6" s="21" t="n">
        <v>1</v>
      </c>
      <c r="F6" s="23" t="n">
        <v>2200</v>
      </c>
      <c r="G6" s="24">
        <f>D6*E6*F6</f>
        <v/>
      </c>
      <c r="H6" s="17" t="inlineStr"/>
    </row>
    <row r="7">
      <c r="A7" s="3" t="n">
        <v>6</v>
      </c>
      <c r="B7" s="17" t="inlineStr">
        <is>
          <t>Plataforma tesoura elétrica 10–12 m</t>
        </is>
      </c>
      <c r="C7" s="3" t="inlineStr">
        <is>
          <t>mês</t>
        </is>
      </c>
      <c r="D7" s="21" t="n">
        <v>1</v>
      </c>
      <c r="E7" s="21" t="n">
        <v>3</v>
      </c>
      <c r="F7" s="23" t="n">
        <v>5800</v>
      </c>
      <c r="G7" s="24">
        <f>D7*E7*F7</f>
        <v/>
      </c>
      <c r="H7" s="17" t="inlineStr">
        <is>
          <t>Pátios internos (Vistas 4, 5, 6)</t>
        </is>
      </c>
    </row>
    <row r="8">
      <c r="A8" s="3" t="n">
        <v>7</v>
      </c>
      <c r="B8" s="17" t="inlineStr">
        <is>
          <t>Frete ida/volta plataforma tesoura</t>
        </is>
      </c>
      <c r="C8" s="3" t="inlineStr">
        <is>
          <t>vez</t>
        </is>
      </c>
      <c r="D8" s="21" t="n">
        <v>1</v>
      </c>
      <c r="E8" s="21" t="n">
        <v>1</v>
      </c>
      <c r="F8" s="23" t="n">
        <v>1100</v>
      </c>
      <c r="G8" s="24">
        <f>D8*E8*F8</f>
        <v/>
      </c>
      <c r="H8" s="17" t="inlineStr"/>
    </row>
    <row r="9">
      <c r="A9" s="3" t="n">
        <v>8</v>
      </c>
      <c r="B9" s="17" t="inlineStr">
        <is>
          <t>Tubo coletor de entulho (duto) c/ funil – locação</t>
        </is>
      </c>
      <c r="C9" s="3" t="inlineStr">
        <is>
          <t>mês</t>
        </is>
      </c>
      <c r="D9" s="21" t="n">
        <v>1</v>
      </c>
      <c r="E9" s="21" t="n">
        <v>2</v>
      </c>
      <c r="F9" s="23" t="n">
        <v>850</v>
      </c>
      <c r="G9" s="24">
        <f>D9*E9*F9</f>
        <v/>
      </c>
      <c r="H9" s="17" t="inlineStr">
        <is>
          <t>Descida do entulho da demolição direto na caçamba</t>
        </is>
      </c>
    </row>
    <row r="10">
      <c r="A10" s="3" t="n">
        <v>9</v>
      </c>
      <c r="B10" s="17" t="inlineStr">
        <is>
          <t>Guincho de coluna / elevador de carga 300 kg</t>
        </is>
      </c>
      <c r="C10" s="3" t="inlineStr">
        <is>
          <t>mês</t>
        </is>
      </c>
      <c r="D10" s="21" t="n">
        <v>1</v>
      </c>
      <c r="E10" s="29">
        <f>Premissas!$C$21-1</f>
        <v/>
      </c>
      <c r="F10" s="23" t="n">
        <v>1350</v>
      </c>
      <c r="G10" s="24">
        <f>D10*E10*F10</f>
        <v/>
      </c>
      <c r="H10" s="17" t="inlineStr">
        <is>
          <t>Subida de argamassa e Fulget</t>
        </is>
      </c>
    </row>
    <row r="11">
      <c r="A11" s="3" t="n">
        <v>10</v>
      </c>
      <c r="B11" s="17" t="inlineStr">
        <is>
          <t>Betoneira 400 L</t>
        </is>
      </c>
      <c r="C11" s="3" t="inlineStr">
        <is>
          <t>mês</t>
        </is>
      </c>
      <c r="D11" s="21" t="n">
        <v>2</v>
      </c>
      <c r="E11" s="29">
        <f>Premissas!$C$21-1</f>
        <v/>
      </c>
      <c r="F11" s="23" t="n">
        <v>480</v>
      </c>
      <c r="G11" s="24">
        <f>D11*E11*F11</f>
        <v/>
      </c>
      <c r="H11" s="17" t="inlineStr"/>
    </row>
    <row r="12">
      <c r="A12" s="3" t="n">
        <v>11</v>
      </c>
      <c r="B12" s="17" t="inlineStr">
        <is>
          <t>Martelete rompedor 10 kg</t>
        </is>
      </c>
      <c r="C12" s="3" t="inlineStr">
        <is>
          <t>mês</t>
        </is>
      </c>
      <c r="D12" s="21" t="n">
        <v>3</v>
      </c>
      <c r="E12" s="21" t="n">
        <v>2</v>
      </c>
      <c r="F12" s="23" t="n">
        <v>680</v>
      </c>
      <c r="G12" s="24">
        <f>D12*E12*F12</f>
        <v/>
      </c>
      <c r="H12" s="17" t="inlineStr">
        <is>
          <t>Fase de demolição</t>
        </is>
      </c>
    </row>
    <row r="13">
      <c r="A13" s="3" t="n">
        <v>12</v>
      </c>
      <c r="B13" s="17" t="inlineStr">
        <is>
          <t>Lavadora de alta pressão (lavagem do Fulget)</t>
        </is>
      </c>
      <c r="C13" s="3" t="inlineStr">
        <is>
          <t>mês</t>
        </is>
      </c>
      <c r="D13" s="21" t="n">
        <v>2</v>
      </c>
      <c r="E13" s="29">
        <f>Premissas!$C$21-2</f>
        <v/>
      </c>
      <c r="F13" s="23" t="n">
        <v>380</v>
      </c>
      <c r="G13" s="24">
        <f>D13*E13*F13</f>
        <v/>
      </c>
      <c r="H13" s="17" t="inlineStr"/>
    </row>
    <row r="14">
      <c r="A14" s="3" t="n">
        <v>13</v>
      </c>
      <c r="B14" s="17" t="inlineStr">
        <is>
          <t>Container almoxarifado/escritório</t>
        </is>
      </c>
      <c r="C14" s="3" t="inlineStr">
        <is>
          <t>mês</t>
        </is>
      </c>
      <c r="D14" s="21" t="n">
        <v>1</v>
      </c>
      <c r="E14" s="29">
        <f>Premissas!$C$21</f>
        <v/>
      </c>
      <c r="F14" s="23" t="n">
        <v>1150</v>
      </c>
      <c r="G14" s="24">
        <f>D14*E14*F14</f>
        <v/>
      </c>
      <c r="H14" s="17" t="inlineStr"/>
    </row>
    <row r="15">
      <c r="A15" s="3" t="n">
        <v>14</v>
      </c>
      <c r="B15" s="17" t="inlineStr">
        <is>
          <t>Banheiro químico (c/ higienização semanal)</t>
        </is>
      </c>
      <c r="C15" s="3" t="inlineStr">
        <is>
          <t>mês</t>
        </is>
      </c>
      <c r="D15" s="21" t="n">
        <v>2</v>
      </c>
      <c r="E15" s="29">
        <f>Premissas!$C$21</f>
        <v/>
      </c>
      <c r="F15" s="23" t="n">
        <v>690</v>
      </c>
      <c r="G15" s="24">
        <f>D15*E15*F15</f>
        <v/>
      </c>
      <c r="H15" s="17" t="inlineStr">
        <is>
          <t>NR-18: 1 p/ cada 20 trabalhadores</t>
        </is>
      </c>
    </row>
    <row r="16">
      <c r="A16" s="3" t="n">
        <v>15</v>
      </c>
      <c r="B16" s="17" t="inlineStr">
        <is>
          <t>Tapume compensado resinado 10 mm 2,20×1,10 (isolamento do passeio)</t>
        </is>
      </c>
      <c r="C16" s="3" t="inlineStr">
        <is>
          <t>ch</t>
        </is>
      </c>
      <c r="D16" s="21" t="n">
        <v>60</v>
      </c>
      <c r="E16" s="21" t="n">
        <v>1</v>
      </c>
      <c r="F16" s="23" t="n">
        <v>98</v>
      </c>
      <c r="G16" s="24">
        <f>D16*E16*F16</f>
        <v/>
      </c>
      <c r="H16" s="17" t="inlineStr">
        <is>
          <t>Compra</t>
        </is>
      </c>
    </row>
    <row r="17">
      <c r="A17" s="3" t="n">
        <v>16</v>
      </c>
      <c r="B17" s="17" t="inlineStr">
        <is>
          <t>Esmerilhadeira 4.1/2"</t>
        </is>
      </c>
      <c r="C17" s="3" t="inlineStr">
        <is>
          <t>un</t>
        </is>
      </c>
      <c r="D17" s="21" t="n">
        <v>3</v>
      </c>
      <c r="E17" s="21" t="n">
        <v>1</v>
      </c>
      <c r="F17" s="23" t="n">
        <v>390</v>
      </c>
      <c r="G17" s="24">
        <f>D17*E17*F17</f>
        <v/>
      </c>
      <c r="H17" s="17" t="inlineStr">
        <is>
          <t>Compra</t>
        </is>
      </c>
    </row>
    <row r="18">
      <c r="A18" s="3" t="n">
        <v>17</v>
      </c>
      <c r="B18" s="17" t="inlineStr">
        <is>
          <t>Furadeira de impacto / parafusadeira</t>
        </is>
      </c>
      <c r="C18" s="3" t="inlineStr">
        <is>
          <t>un</t>
        </is>
      </c>
      <c r="D18" s="21" t="n">
        <v>4</v>
      </c>
      <c r="E18" s="21" t="n">
        <v>1</v>
      </c>
      <c r="F18" s="23" t="n">
        <v>520</v>
      </c>
      <c r="G18" s="24">
        <f>D18*E18*F18</f>
        <v/>
      </c>
      <c r="H18" s="17" t="inlineStr">
        <is>
          <t>Compra</t>
        </is>
      </c>
    </row>
    <row r="19">
      <c r="A19" s="3" t="n">
        <v>18</v>
      </c>
      <c r="B19" s="17" t="inlineStr">
        <is>
          <t>Serra circular c/ disco p/ ACM + tupia c/ fresa V (dobra do ACM)</t>
        </is>
      </c>
      <c r="C19" s="3" t="inlineStr">
        <is>
          <t>cj</t>
        </is>
      </c>
      <c r="D19" s="21" t="n">
        <v>1</v>
      </c>
      <c r="E19" s="21" t="n">
        <v>1</v>
      </c>
      <c r="F19" s="23" t="n">
        <v>1900</v>
      </c>
      <c r="G19" s="24">
        <f>D19*E19*F19</f>
        <v/>
      </c>
      <c r="H19" s="17" t="inlineStr">
        <is>
          <t>Compra</t>
        </is>
      </c>
    </row>
    <row r="20">
      <c r="A20" s="3" t="n">
        <v>19</v>
      </c>
      <c r="B20" s="17" t="inlineStr">
        <is>
          <t>Máquina de solda inversora 200 A</t>
        </is>
      </c>
      <c r="C20" s="3" t="inlineStr">
        <is>
          <t>un</t>
        </is>
      </c>
      <c r="D20" s="21" t="n">
        <v>1</v>
      </c>
      <c r="E20" s="21" t="n">
        <v>1</v>
      </c>
      <c r="F20" s="23" t="n">
        <v>1250</v>
      </c>
      <c r="G20" s="24">
        <f>D20*E20*F20</f>
        <v/>
      </c>
      <c r="H20" s="17" t="inlineStr">
        <is>
          <t>Compra</t>
        </is>
      </c>
    </row>
    <row r="21">
      <c r="A21" s="3" t="n">
        <v>20</v>
      </c>
      <c r="B21" s="17" t="inlineStr">
        <is>
          <t>Ferramentas manuais (desempenadeiras aço/PVC, colheres, réguas alumínio 2 m, prumos, níveis, mangueira de nível)</t>
        </is>
      </c>
      <c r="C21" s="3" t="inlineStr">
        <is>
          <t>cj</t>
        </is>
      </c>
      <c r="D21" s="21" t="n">
        <v>1</v>
      </c>
      <c r="E21" s="21" t="n">
        <v>1</v>
      </c>
      <c r="F21" s="23" t="n">
        <v>2800</v>
      </c>
      <c r="G21" s="24">
        <f>D21*E21*F21</f>
        <v/>
      </c>
      <c r="H21" s="17" t="inlineStr">
        <is>
          <t>Compra</t>
        </is>
      </c>
    </row>
    <row r="22">
      <c r="A22" s="3" t="n">
        <v>21</v>
      </c>
      <c r="B22" s="17" t="inlineStr">
        <is>
          <t>Carrinho de mão, pás, enxadas, baldes, masseiras</t>
        </is>
      </c>
      <c r="C22" s="3" t="inlineStr">
        <is>
          <t>cj</t>
        </is>
      </c>
      <c r="D22" s="21" t="n">
        <v>1</v>
      </c>
      <c r="E22" s="21" t="n">
        <v>1</v>
      </c>
      <c r="F22" s="23" t="n">
        <v>1650</v>
      </c>
      <c r="G22" s="24">
        <f>D22*E22*F22</f>
        <v/>
      </c>
      <c r="H22" s="17" t="inlineStr">
        <is>
          <t>Compra</t>
        </is>
      </c>
    </row>
    <row r="23">
      <c r="A23" s="3" t="n">
        <v>22</v>
      </c>
      <c r="B23" s="17" t="inlineStr">
        <is>
          <t>Extensões elétricas, quadro provisório de obra, refletores de obra</t>
        </is>
      </c>
      <c r="C23" s="3" t="inlineStr">
        <is>
          <t>cj</t>
        </is>
      </c>
      <c r="D23" s="21" t="n">
        <v>1</v>
      </c>
      <c r="E23" s="21" t="n">
        <v>1</v>
      </c>
      <c r="F23" s="23" t="n">
        <v>1800</v>
      </c>
      <c r="G23" s="24">
        <f>D23*E23*F23</f>
        <v/>
      </c>
      <c r="H23" s="17" t="inlineStr">
        <is>
          <t>Compra</t>
        </is>
      </c>
    </row>
    <row r="24">
      <c r="A24" s="3" t="n">
        <v>23</v>
      </c>
      <c r="B24" s="17" t="inlineStr">
        <is>
          <t>Mangueira 50 m, escovas, esponjas, rolos, pincéis, fita crepe, estopa</t>
        </is>
      </c>
      <c r="C24" s="3" t="inlineStr">
        <is>
          <t>cj</t>
        </is>
      </c>
      <c r="D24" s="21" t="n">
        <v>1</v>
      </c>
      <c r="E24" s="21" t="n">
        <v>1</v>
      </c>
      <c r="F24" s="23" t="n">
        <v>1400</v>
      </c>
      <c r="G24" s="24">
        <f>D24*E24*F24</f>
        <v/>
      </c>
      <c r="H24" s="17" t="inlineStr">
        <is>
          <t>Consumíveis gerais</t>
        </is>
      </c>
    </row>
    <row r="26">
      <c r="F26" s="11" t="inlineStr">
        <is>
          <t>TOTAL EQUIPAMENTOS</t>
        </is>
      </c>
      <c r="G26" s="28">
        <f>SUM(G2:G24)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12" customWidth="1" min="4" max="4"/>
    <col width="16" customWidth="1" min="5" max="5"/>
    <col width="16" customWidth="1" min="6" max="6"/>
    <col width="60" customWidth="1" min="7" max="7"/>
  </cols>
  <sheetData>
    <row r="1" ht="32" customHeight="1">
      <c r="A1" s="2" t="inlineStr">
        <is>
          <t>Item</t>
        </is>
      </c>
      <c r="B1" s="2" t="inlineStr">
        <is>
          <t>EPI / EPC</t>
        </is>
      </c>
      <c r="C1" s="2" t="inlineStr">
        <is>
          <t>Unid.</t>
        </is>
      </c>
      <c r="D1" s="2" t="inlineStr">
        <is>
          <t>Qtde</t>
        </is>
      </c>
      <c r="E1" s="2" t="inlineStr">
        <is>
          <t>Preço unit. SP (R$)</t>
        </is>
      </c>
      <c r="F1" s="2" t="inlineStr">
        <is>
          <t>Total (R$)</t>
        </is>
      </c>
      <c r="G1" s="2" t="inlineStr">
        <is>
          <t>Observação</t>
        </is>
      </c>
    </row>
    <row r="2">
      <c r="A2" s="3" t="inlineStr">
        <is>
          <t>EPI</t>
        </is>
      </c>
      <c r="B2" s="3" t="inlineStr">
        <is>
          <t>Capacete classe B c/ jugular</t>
        </is>
      </c>
      <c r="C2" s="3" t="inlineStr">
        <is>
          <t>un</t>
        </is>
      </c>
      <c r="D2" s="30">
        <f>Premissas!$C$22+2</f>
        <v/>
      </c>
      <c r="E2" s="23" t="n">
        <v>48</v>
      </c>
      <c r="F2" s="24">
        <f>D2*E2</f>
        <v/>
      </c>
      <c r="G2" s="3" t="inlineStr">
        <is>
          <t>+2 p/ visitantes</t>
        </is>
      </c>
    </row>
    <row r="3">
      <c r="A3" s="3" t="inlineStr">
        <is>
          <t>EPI</t>
        </is>
      </c>
      <c r="B3" s="3" t="inlineStr">
        <is>
          <t>Cinto paraquedista NR-35 c/ talabarte duplo e absorvedor</t>
        </is>
      </c>
      <c r="C3" s="3" t="inlineStr">
        <is>
          <t>un</t>
        </is>
      </c>
      <c r="D3" s="30">
        <f>ROUNDUP(Premissas!$C$22*0.8,0)</f>
        <v/>
      </c>
      <c r="E3" s="23" t="n">
        <v>430</v>
      </c>
      <c r="F3" s="24">
        <f>D3*E3</f>
        <v/>
      </c>
      <c r="G3" s="3" t="inlineStr">
        <is>
          <t>Todos que trabalham em altura</t>
        </is>
      </c>
    </row>
    <row r="4">
      <c r="A4" s="3" t="inlineStr">
        <is>
          <t>EPI</t>
        </is>
      </c>
      <c r="B4" s="3" t="inlineStr">
        <is>
          <t>Trava-quedas p/ corda 12 mm (linha de vida vertical)</t>
        </is>
      </c>
      <c r="C4" s="3" t="inlineStr">
        <is>
          <t>un</t>
        </is>
      </c>
      <c r="D4" s="30">
        <f>ROUNDUP(Premissas!$C$22*0.4,0)</f>
        <v/>
      </c>
      <c r="E4" s="23" t="n">
        <v>380</v>
      </c>
      <c r="F4" s="24">
        <f>D4*E4</f>
        <v/>
      </c>
      <c r="G4" s="3" t="inlineStr"/>
    </row>
    <row r="5">
      <c r="A5" s="3" t="inlineStr">
        <is>
          <t>EPC</t>
        </is>
      </c>
      <c r="B5" s="3" t="inlineStr">
        <is>
          <t>Corda de poliamida 12 mm p/ linha de vida</t>
        </is>
      </c>
      <c r="C5" s="3" t="inlineStr">
        <is>
          <t>m</t>
        </is>
      </c>
      <c r="D5" s="31" t="n">
        <v>300</v>
      </c>
      <c r="E5" s="23" t="n">
        <v>9.5</v>
      </c>
      <c r="F5" s="24">
        <f>D5*E5</f>
        <v/>
      </c>
      <c r="G5" s="3" t="inlineStr"/>
    </row>
    <row r="6">
      <c r="A6" s="3" t="inlineStr">
        <is>
          <t>EPI</t>
        </is>
      </c>
      <c r="B6" s="3" t="inlineStr">
        <is>
          <t>Óculos de proteção ampla visão</t>
        </is>
      </c>
      <c r="C6" s="3" t="inlineStr">
        <is>
          <t>un</t>
        </is>
      </c>
      <c r="D6" s="30">
        <f>Premissas!$C$22*2</f>
        <v/>
      </c>
      <c r="E6" s="23" t="n">
        <v>19</v>
      </c>
      <c r="F6" s="24">
        <f>D6*E6</f>
        <v/>
      </c>
      <c r="G6" s="3" t="inlineStr"/>
    </row>
    <row r="7">
      <c r="A7" s="3" t="inlineStr">
        <is>
          <t>EPI</t>
        </is>
      </c>
      <c r="B7" s="3" t="inlineStr">
        <is>
          <t>Protetor auricular tipo plug (par)</t>
        </is>
      </c>
      <c r="C7" s="3" t="inlineStr">
        <is>
          <t>par</t>
        </is>
      </c>
      <c r="D7" s="30">
        <f>Premissas!$C$22*10</f>
        <v/>
      </c>
      <c r="E7" s="23" t="n">
        <v>2.2</v>
      </c>
      <c r="F7" s="24">
        <f>D7*E7</f>
        <v/>
      </c>
      <c r="G7" s="3" t="inlineStr"/>
    </row>
    <row r="8">
      <c r="A8" s="3" t="inlineStr">
        <is>
          <t>EPI</t>
        </is>
      </c>
      <c r="B8" s="3" t="inlineStr">
        <is>
          <t>Luva de vaqueta</t>
        </is>
      </c>
      <c r="C8" s="3" t="inlineStr">
        <is>
          <t>par</t>
        </is>
      </c>
      <c r="D8" s="30">
        <f>Premissas!$C$22*6</f>
        <v/>
      </c>
      <c r="E8" s="23" t="n">
        <v>19</v>
      </c>
      <c r="F8" s="24">
        <f>D8*E8</f>
        <v/>
      </c>
      <c r="G8" s="3" t="inlineStr"/>
    </row>
    <row r="9">
      <c r="A9" s="3" t="inlineStr">
        <is>
          <t>EPI</t>
        </is>
      </c>
      <c r="B9" s="3" t="inlineStr">
        <is>
          <t>Luva nitrílica / PVC (cimento, ácido, resina)</t>
        </is>
      </c>
      <c r="C9" s="3" t="inlineStr">
        <is>
          <t>par</t>
        </is>
      </c>
      <c r="D9" s="30">
        <f>Premissas!$C$22*6</f>
        <v/>
      </c>
      <c r="E9" s="23" t="n">
        <v>13</v>
      </c>
      <c r="F9" s="24">
        <f>D9*E9</f>
        <v/>
      </c>
      <c r="G9" s="3" t="inlineStr"/>
    </row>
    <row r="10">
      <c r="A10" s="3" t="inlineStr">
        <is>
          <t>EPI</t>
        </is>
      </c>
      <c r="B10" s="3" t="inlineStr">
        <is>
          <t>Botina de segurança bico composite</t>
        </is>
      </c>
      <c r="C10" s="3" t="inlineStr">
        <is>
          <t>par</t>
        </is>
      </c>
      <c r="D10" s="30" t="inlineStr">
        <is>
          <t>Premissas!$C$22</t>
        </is>
      </c>
      <c r="E10" s="23" t="n">
        <v>145</v>
      </c>
      <c r="F10" s="24">
        <f>D10*E10</f>
        <v/>
      </c>
      <c r="G10" s="3" t="inlineStr"/>
    </row>
    <row r="11">
      <c r="A11" s="3" t="inlineStr">
        <is>
          <t>EPI</t>
        </is>
      </c>
      <c r="B11" s="3" t="inlineStr">
        <is>
          <t>Bota de PVC cano longo (lavagem do Fulget)</t>
        </is>
      </c>
      <c r="C11" s="3" t="inlineStr">
        <is>
          <t>par</t>
        </is>
      </c>
      <c r="D11" s="30">
        <f>ROUNDUP(Premissas!$C$22*0.5,0)</f>
        <v/>
      </c>
      <c r="E11" s="23" t="n">
        <v>72</v>
      </c>
      <c r="F11" s="24">
        <f>D11*E11</f>
        <v/>
      </c>
      <c r="G11" s="3" t="inlineStr"/>
    </row>
    <row r="12">
      <c r="A12" s="3" t="inlineStr">
        <is>
          <t>EPI</t>
        </is>
      </c>
      <c r="B12" s="3" t="inlineStr">
        <is>
          <t>Máscara PFF2 (poeira de demolição e cimento)</t>
        </is>
      </c>
      <c r="C12" s="3" t="inlineStr">
        <is>
          <t>un</t>
        </is>
      </c>
      <c r="D12" s="30">
        <f>Premissas!$C$22*30</f>
        <v/>
      </c>
      <c r="E12" s="23" t="n">
        <v>4.6</v>
      </c>
      <c r="F12" s="24">
        <f>D12*E12</f>
        <v/>
      </c>
      <c r="G12" s="3" t="inlineStr"/>
    </row>
    <row r="13">
      <c r="A13" s="3" t="inlineStr">
        <is>
          <t>EPI</t>
        </is>
      </c>
      <c r="B13" s="3" t="inlineStr">
        <is>
          <t>Respirador semifacial + filtro químico (PU, solventes, resina)</t>
        </is>
      </c>
      <c r="C13" s="3" t="inlineStr">
        <is>
          <t>un</t>
        </is>
      </c>
      <c r="D13" s="31" t="n">
        <v>4</v>
      </c>
      <c r="E13" s="23" t="n">
        <v>145</v>
      </c>
      <c r="F13" s="24">
        <f>D13*E13</f>
        <v/>
      </c>
      <c r="G13" s="3" t="inlineStr"/>
    </row>
    <row r="14">
      <c r="A14" s="3" t="inlineStr">
        <is>
          <t>EPI</t>
        </is>
      </c>
      <c r="B14" s="3" t="inlineStr">
        <is>
          <t>Filtro de reposição p/ respirador</t>
        </is>
      </c>
      <c r="C14" s="3" t="inlineStr">
        <is>
          <t>un</t>
        </is>
      </c>
      <c r="D14" s="31" t="n">
        <v>16</v>
      </c>
      <c r="E14" s="23" t="n">
        <v>48</v>
      </c>
      <c r="F14" s="24">
        <f>D14*E14</f>
        <v/>
      </c>
      <c r="G14" s="3" t="inlineStr"/>
    </row>
    <row r="15">
      <c r="A15" s="3" t="inlineStr">
        <is>
          <t>EPI</t>
        </is>
      </c>
      <c r="B15" s="3" t="inlineStr">
        <is>
          <t>Uniforme (camisa manga longa + calça), 2 jogos por pessoa</t>
        </is>
      </c>
      <c r="C15" s="3" t="inlineStr">
        <is>
          <t>jg</t>
        </is>
      </c>
      <c r="D15" s="30">
        <f>Premissas!$C$22*2</f>
        <v/>
      </c>
      <c r="E15" s="23" t="n">
        <v>120</v>
      </c>
      <c r="F15" s="24">
        <f>D15*E15</f>
        <v/>
      </c>
      <c r="G15" s="3" t="inlineStr"/>
    </row>
    <row r="16">
      <c r="A16" s="3" t="inlineStr">
        <is>
          <t>EPI</t>
        </is>
      </c>
      <c r="B16" s="3" t="inlineStr">
        <is>
          <t>Protetor solar FPS 50 (frasco 1 L)</t>
        </is>
      </c>
      <c r="C16" s="3" t="inlineStr">
        <is>
          <t>un</t>
        </is>
      </c>
      <c r="D16" s="30">
        <f>Premissas!$C$22</f>
        <v/>
      </c>
      <c r="E16" s="23" t="n">
        <v>62</v>
      </c>
      <c r="F16" s="24">
        <f>D16*E16</f>
        <v/>
      </c>
      <c r="G16" s="3" t="inlineStr"/>
    </row>
    <row r="17">
      <c r="A17" s="3" t="inlineStr">
        <is>
          <t>EPI</t>
        </is>
      </c>
      <c r="B17" s="3" t="inlineStr">
        <is>
          <t>Capa de chuva</t>
        </is>
      </c>
      <c r="C17" s="3" t="inlineStr">
        <is>
          <t>un</t>
        </is>
      </c>
      <c r="D17" s="30" t="inlineStr">
        <is>
          <t>Premissas!$C$22</t>
        </is>
      </c>
      <c r="E17" s="23" t="n">
        <v>38</v>
      </c>
      <c r="F17" s="24">
        <f>D17*E17</f>
        <v/>
      </c>
      <c r="G17" s="3" t="inlineStr"/>
    </row>
    <row r="18">
      <c r="A18" s="3" t="inlineStr">
        <is>
          <t>EPI</t>
        </is>
      </c>
      <c r="B18" s="3" t="inlineStr">
        <is>
          <t>Máscara de solda automática + avental e luva de raspa</t>
        </is>
      </c>
      <c r="C18" s="3" t="inlineStr">
        <is>
          <t>cj</t>
        </is>
      </c>
      <c r="D18" s="31" t="n">
        <v>2</v>
      </c>
      <c r="E18" s="23" t="n">
        <v>320</v>
      </c>
      <c r="F18" s="24">
        <f>D18*E18</f>
        <v/>
      </c>
      <c r="G18" s="3" t="inlineStr"/>
    </row>
    <row r="19">
      <c r="A19" s="3" t="inlineStr">
        <is>
          <t>EPC</t>
        </is>
      </c>
      <c r="B19" s="3" t="inlineStr">
        <is>
          <t>Cone de sinalização 75 cm</t>
        </is>
      </c>
      <c r="C19" s="3" t="inlineStr">
        <is>
          <t>un</t>
        </is>
      </c>
      <c r="D19" s="31" t="n">
        <v>20</v>
      </c>
      <c r="E19" s="23" t="n">
        <v>46</v>
      </c>
      <c r="F19" s="24">
        <f>D19*E19</f>
        <v/>
      </c>
      <c r="G19" s="3" t="inlineStr"/>
    </row>
    <row r="20">
      <c r="A20" s="3" t="inlineStr">
        <is>
          <t>EPC</t>
        </is>
      </c>
      <c r="B20" s="3" t="inlineStr">
        <is>
          <t>Fita zebrada (rolo 200 m)</t>
        </is>
      </c>
      <c r="C20" s="3" t="inlineStr">
        <is>
          <t>rl</t>
        </is>
      </c>
      <c r="D20" s="31" t="n">
        <v>10</v>
      </c>
      <c r="E20" s="23" t="n">
        <v>26</v>
      </c>
      <c r="F20" s="24">
        <f>D20*E20</f>
        <v/>
      </c>
      <c r="G20" s="3" t="inlineStr"/>
    </row>
    <row r="21">
      <c r="A21" s="3" t="inlineStr">
        <is>
          <t>EPC</t>
        </is>
      </c>
      <c r="B21" s="3" t="inlineStr">
        <is>
          <t>Placas de sinalização de obra / NR-26</t>
        </is>
      </c>
      <c r="C21" s="3" t="inlineStr">
        <is>
          <t>un</t>
        </is>
      </c>
      <c r="D21" s="31" t="n">
        <v>12</v>
      </c>
      <c r="E21" s="23" t="n">
        <v>38</v>
      </c>
      <c r="F21" s="24">
        <f>D21*E21</f>
        <v/>
      </c>
      <c r="G21" s="3" t="inlineStr"/>
    </row>
    <row r="22">
      <c r="A22" s="3" t="inlineStr">
        <is>
          <t>EPC</t>
        </is>
      </c>
      <c r="B22" s="3" t="inlineStr">
        <is>
          <t>Extintor PQS 4 kg + suporte</t>
        </is>
      </c>
      <c r="C22" s="3" t="inlineStr">
        <is>
          <t>un</t>
        </is>
      </c>
      <c r="D22" s="31" t="n">
        <v>2</v>
      </c>
      <c r="E22" s="23" t="n">
        <v>190</v>
      </c>
      <c r="F22" s="24">
        <f>D22*E22</f>
        <v/>
      </c>
      <c r="G22" s="3" t="inlineStr"/>
    </row>
    <row r="23">
      <c r="A23" s="3" t="inlineStr">
        <is>
          <t>EPC</t>
        </is>
      </c>
      <c r="B23" s="3" t="inlineStr">
        <is>
          <t>Kit de primeiros socorros</t>
        </is>
      </c>
      <c r="C23" s="3" t="inlineStr">
        <is>
          <t>un</t>
        </is>
      </c>
      <c r="D23" s="31" t="n">
        <v>1</v>
      </c>
      <c r="E23" s="23" t="n">
        <v>160</v>
      </c>
      <c r="F23" s="24">
        <f>D23*E23</f>
        <v/>
      </c>
      <c r="G23" s="3" t="inlineStr"/>
    </row>
    <row r="24">
      <c r="A24" s="3" t="inlineStr">
        <is>
          <t>EPC</t>
        </is>
      </c>
      <c r="B24" s="3" t="inlineStr">
        <is>
          <t>Guarda-corpo e rodapé extra p/ plataformas e acessos (madeira/metal)</t>
        </is>
      </c>
      <c r="C24" s="3" t="inlineStr">
        <is>
          <t>vb</t>
        </is>
      </c>
      <c r="D24" s="31" t="n">
        <v>1</v>
      </c>
      <c r="E24" s="23" t="n">
        <v>1500</v>
      </c>
      <c r="F24" s="24">
        <f>D24*E24</f>
        <v/>
      </c>
      <c r="G24" s="3" t="inlineStr"/>
    </row>
    <row r="25">
      <c r="A25" s="3" t="inlineStr">
        <is>
          <t>Treinamento</t>
        </is>
      </c>
      <c r="B25" s="3" t="inlineStr">
        <is>
          <t>Treinamento NR-35 (trabalho em altura) + NR-18 por trabalhador</t>
        </is>
      </c>
      <c r="C25" s="3" t="inlineStr">
        <is>
          <t>pessoa</t>
        </is>
      </c>
      <c r="D25" s="30" t="inlineStr">
        <is>
          <t>Premissas!$C$22</t>
        </is>
      </c>
      <c r="E25" s="23" t="n">
        <v>260</v>
      </c>
      <c r="F25" s="24">
        <f>D25*E25</f>
        <v/>
      </c>
      <c r="G25" s="3" t="inlineStr">
        <is>
          <t>Obrigatório</t>
        </is>
      </c>
    </row>
    <row r="26">
      <c r="A26" s="3" t="inlineStr">
        <is>
          <t>Treinamento</t>
        </is>
      </c>
      <c r="B26" s="3" t="inlineStr">
        <is>
          <t>Treinamento operador de PEMT (plataforma elevatória)</t>
        </is>
      </c>
      <c r="C26" s="3" t="inlineStr">
        <is>
          <t>pessoa</t>
        </is>
      </c>
      <c r="D26" s="31" t="n">
        <v>2</v>
      </c>
      <c r="E26" s="23" t="n">
        <v>480</v>
      </c>
      <c r="F26" s="24">
        <f>D26*E26</f>
        <v/>
      </c>
      <c r="G26" s="3" t="inlineStr">
        <is>
          <t>NR-18/NR-12</t>
        </is>
      </c>
    </row>
    <row r="28">
      <c r="E28" s="11" t="inlineStr">
        <is>
          <t>TOTAL EPI/EPC</t>
        </is>
      </c>
      <c r="F28" s="28">
        <f>SUM(F2:F26)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2026-10-08T03:21:53Z</dcterms:created>
  <dcterms:modified xsi:type="dcterms:W3CDTF">2026-10-08T03:21:53Z</dcterms:modified>
</cp:coreProperties>
</file>