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s inter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;(&quot;R$&quot; #,##0.00);&quot;-&quot;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color rgb="000000FF"/>
    </font>
    <font>
      <name val="Arial"/>
      <i val="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1E2A2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164" fontId="3" fillId="0" borderId="1" pivotButton="0" quotePrefix="0" xfId="0"/>
    <xf numFmtId="164" fontId="6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7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50" customWidth="1" min="11" max="11"/>
  </cols>
  <sheetData>
    <row r="1">
      <c r="A1" s="1" t="inlineStr">
        <is>
          <t>COMPOSIÇÃO DE CUSTOS INTERNA – Fachada São Camilo (NÃO ENVIAR AO CLIENTE)</t>
        </is>
      </c>
    </row>
    <row r="2">
      <c r="A2" s="2" t="inlineStr">
        <is>
          <t>BDI aplicado:</t>
        </is>
      </c>
      <c r="C2" s="3" t="n">
        <v>0.3</v>
      </c>
      <c r="D2" s="4" t="inlineStr">
        <is>
          <t>Azul = valor digitado (custo); preto = fórmula. "Planilha real" = seu valor de mão de obra; demais = estimativa de mercado SP / SINAPI 05/2026 a confirmar com cotação.</t>
        </is>
      </c>
    </row>
    <row r="4">
      <c r="A4" s="5" t="inlineStr">
        <is>
          <t>Item</t>
        </is>
      </c>
      <c r="B4" s="5" t="inlineStr">
        <is>
          <t>Descrição (resumo)</t>
        </is>
      </c>
      <c r="C4" s="5" t="inlineStr">
        <is>
          <t>Un</t>
        </is>
      </c>
      <c r="D4" s="5" t="inlineStr">
        <is>
          <t>Qtde cliente</t>
        </is>
      </c>
      <c r="E4" s="5" t="inlineStr">
        <is>
          <t>Custo material (R$)</t>
        </is>
      </c>
      <c r="F4" s="5" t="inlineStr">
        <is>
          <t>Custo mão de obra (R$)</t>
        </is>
      </c>
      <c r="G4" s="5" t="inlineStr">
        <is>
          <t>Custo total (R$)</t>
        </is>
      </c>
      <c r="H4" s="5" t="inlineStr">
        <is>
          <t>Preço de venda (R$)</t>
        </is>
      </c>
      <c r="I4" s="5" t="inlineStr">
        <is>
          <t>Lucro bruto + impostos (R$)</t>
        </is>
      </c>
      <c r="J4" s="5" t="inlineStr">
        <is>
          <t>Origem/descrição do material</t>
        </is>
      </c>
      <c r="K4" s="5" t="inlineStr">
        <is>
          <t>Origem da mão de obra</t>
        </is>
      </c>
    </row>
    <row r="5">
      <c r="A5" s="6" t="inlineStr">
        <is>
          <t>1.01</t>
        </is>
      </c>
      <c r="B5" s="7" t="inlineStr">
        <is>
          <t>Recolhimento de ART Civil</t>
        </is>
      </c>
      <c r="C5" s="6" t="inlineStr">
        <is>
          <t>vb</t>
        </is>
      </c>
      <c r="D5" s="6" t="n">
        <v>1</v>
      </c>
      <c r="E5" s="8" t="n">
        <v>0</v>
      </c>
      <c r="F5" s="8" t="n">
        <v>280</v>
      </c>
      <c r="G5" s="9">
        <f>E5+F5</f>
        <v/>
      </c>
      <c r="H5" s="9">
        <f>G5*(1+$C$2)</f>
        <v/>
      </c>
      <c r="I5" s="9">
        <f>H5-G5</f>
        <v/>
      </c>
      <c r="J5" s="7" t="inlineStr"/>
      <c r="K5" s="7" t="inlineStr">
        <is>
          <t>Taxa ART CREA-SP (estimativa)</t>
        </is>
      </c>
    </row>
    <row r="6">
      <c r="A6" s="6" t="inlineStr">
        <is>
          <t>1.02</t>
        </is>
      </c>
      <c r="B6" s="7" t="inlineStr">
        <is>
          <t>Recolhimento de ART Eletrica</t>
        </is>
      </c>
      <c r="C6" s="6" t="inlineStr">
        <is>
          <t>vb</t>
        </is>
      </c>
      <c r="D6" s="6" t="n">
        <v>1</v>
      </c>
      <c r="E6" s="8" t="n">
        <v>0</v>
      </c>
      <c r="F6" s="8" t="n">
        <v>280</v>
      </c>
      <c r="G6" s="9">
        <f>E6+F6</f>
        <v/>
      </c>
      <c r="H6" s="9">
        <f>G6*(1+$C$2)</f>
        <v/>
      </c>
      <c r="I6" s="9">
        <f>H6-G6</f>
        <v/>
      </c>
      <c r="J6" s="7" t="inlineStr"/>
      <c r="K6" s="7" t="inlineStr">
        <is>
          <t>Taxa ART (estimativa)</t>
        </is>
      </c>
    </row>
    <row r="7">
      <c r="A7" s="6" t="inlineStr">
        <is>
          <t>1.03</t>
        </is>
      </c>
      <c r="B7" s="7" t="inlineStr">
        <is>
          <t>Recolhimento de ART hidráulica</t>
        </is>
      </c>
      <c r="C7" s="6" t="inlineStr">
        <is>
          <t>vb</t>
        </is>
      </c>
      <c r="D7" s="6" t="n">
        <v>1</v>
      </c>
      <c r="E7" s="8" t="n">
        <v>0</v>
      </c>
      <c r="F7" s="8" t="n">
        <v>280</v>
      </c>
      <c r="G7" s="9">
        <f>E7+F7</f>
        <v/>
      </c>
      <c r="H7" s="9">
        <f>G7*(1+$C$2)</f>
        <v/>
      </c>
      <c r="I7" s="9">
        <f>H7-G7</f>
        <v/>
      </c>
      <c r="J7" s="7" t="inlineStr"/>
      <c r="K7" s="7" t="inlineStr">
        <is>
          <t>Taxa ART (estimativa)</t>
        </is>
      </c>
    </row>
    <row r="8">
      <c r="A8" s="6" t="inlineStr">
        <is>
          <t>1.04</t>
        </is>
      </c>
      <c r="B8" s="7" t="inlineStr">
        <is>
          <t>Recolhimento de ART Climatização</t>
        </is>
      </c>
      <c r="C8" s="6" t="inlineStr">
        <is>
          <t>vb</t>
        </is>
      </c>
      <c r="D8" s="6" t="n">
        <v>1</v>
      </c>
      <c r="E8" s="8" t="n">
        <v>0</v>
      </c>
      <c r="F8" s="8" t="n">
        <v>280</v>
      </c>
      <c r="G8" s="9">
        <f>E8+F8</f>
        <v/>
      </c>
      <c r="H8" s="9">
        <f>G8*(1+$C$2)</f>
        <v/>
      </c>
      <c r="I8" s="9">
        <f>H8-G8</f>
        <v/>
      </c>
      <c r="J8" s="7" t="inlineStr"/>
      <c r="K8" s="7" t="inlineStr">
        <is>
          <t>Taxa ART (estimativa)</t>
        </is>
      </c>
    </row>
    <row r="9">
      <c r="A9" s="6" t="inlineStr">
        <is>
          <t>1.05</t>
        </is>
      </c>
      <c r="B9" s="7" t="inlineStr">
        <is>
          <t>Seguro da obra</t>
        </is>
      </c>
      <c r="C9" s="6" t="inlineStr">
        <is>
          <t>vb</t>
        </is>
      </c>
      <c r="D9" s="6" t="n">
        <v>1</v>
      </c>
      <c r="E9" s="8" t="n">
        <v>0</v>
      </c>
      <c r="F9" s="8" t="n">
        <v>6000</v>
      </c>
      <c r="G9" s="9">
        <f>E9+F9</f>
        <v/>
      </c>
      <c r="H9" s="9">
        <f>G9*(1+$C$2)</f>
        <v/>
      </c>
      <c r="I9" s="9">
        <f>H9-G9</f>
        <v/>
      </c>
      <c r="J9" s="7" t="inlineStr"/>
      <c r="K9" s="7" t="inlineStr">
        <is>
          <t>Seguro obra/RC – estimativa (cotar corretora)</t>
        </is>
      </c>
    </row>
    <row r="10">
      <c r="A10" s="6" t="inlineStr">
        <is>
          <t>1.06</t>
        </is>
      </c>
      <c r="B10" s="7" t="inlineStr">
        <is>
          <t>Fornecimento de ASO dos colaboradores</t>
        </is>
      </c>
      <c r="C10" s="6" t="inlineStr">
        <is>
          <t>vb</t>
        </is>
      </c>
      <c r="D10" s="6" t="n">
        <v>1</v>
      </c>
      <c r="E10" s="8" t="n">
        <v>0</v>
      </c>
      <c r="F10" s="8" t="n">
        <v>900</v>
      </c>
      <c r="G10" s="9">
        <f>E10+F10</f>
        <v/>
      </c>
      <c r="H10" s="9">
        <f>G10*(1+$C$2)</f>
        <v/>
      </c>
      <c r="I10" s="9">
        <f>H10-G10</f>
        <v/>
      </c>
      <c r="J10" s="7" t="inlineStr"/>
      <c r="K10" s="7" t="inlineStr">
        <is>
          <t>ASO admissional 10 colaboradores × R$ 90 (estimativa)</t>
        </is>
      </c>
    </row>
    <row r="11">
      <c r="A11" s="6" t="inlineStr">
        <is>
          <t>1.07</t>
        </is>
      </c>
      <c r="B11" s="7" t="inlineStr">
        <is>
          <t>Aluguel de ferramentas / equipamentos</t>
        </is>
      </c>
      <c r="C11" s="6" t="inlineStr">
        <is>
          <t>vb</t>
        </is>
      </c>
      <c r="D11" s="6" t="n">
        <v>1</v>
      </c>
      <c r="E11" s="8" t="n">
        <v>38600</v>
      </c>
      <c r="F11" s="8" t="n">
        <v>0</v>
      </c>
      <c r="G11" s="9">
        <f>E11+F11</f>
        <v/>
      </c>
      <c r="H11" s="9">
        <f>G11*(1+$C$2)</f>
        <v/>
      </c>
      <c r="I11" s="9">
        <f>H11-G11</f>
        <v/>
      </c>
      <c r="J11" s="7" t="inlineStr">
        <is>
          <t>Betoneira, martelete, lavadora alta pressão, tubo coletor de entulho, container, 2 banheiros químicos (5 meses) + ferramentas (esmerilhadeiras, furadeiras, serra/tupia ACM, solda, manuais, carrinhos, extensões, consumíveis)</t>
        </is>
      </c>
      <c r="K11" s="7" t="inlineStr"/>
    </row>
    <row r="12">
      <c r="A12" s="6" t="inlineStr">
        <is>
          <t>1.08</t>
        </is>
      </c>
      <c r="B12" s="7" t="inlineStr">
        <is>
          <t>Equipe técnico-administrativa  - Do inicio ao fim das atividades diárias</t>
        </is>
      </c>
      <c r="C12" s="6" t="inlineStr">
        <is>
          <t>vb</t>
        </is>
      </c>
      <c r="D12" s="6" t="n">
        <v>1</v>
      </c>
      <c r="E12" s="8" t="n">
        <v>0</v>
      </c>
      <c r="F12" s="8" t="n">
        <v>55000</v>
      </c>
      <c r="G12" s="9">
        <f>E12+F12</f>
        <v/>
      </c>
      <c r="H12" s="9">
        <f>G12*(1+$C$2)</f>
        <v/>
      </c>
      <c r="I12" s="9">
        <f>H12-G12</f>
        <v/>
      </c>
      <c r="J12" s="7" t="inlineStr"/>
      <c r="K12" s="7" t="inlineStr">
        <is>
          <t>Mestre de obras + engenheiro responsável parcial, 5 meses (estimativa)</t>
        </is>
      </c>
    </row>
    <row r="13">
      <c r="A13" s="6" t="inlineStr">
        <is>
          <t>3.01</t>
        </is>
      </c>
      <c r="B13" s="7" t="inlineStr">
        <is>
          <t>Demolição de revestimentos</t>
        </is>
      </c>
      <c r="C13" s="6" t="inlineStr">
        <is>
          <t>m²</t>
        </is>
      </c>
      <c r="D13" s="6" t="n">
        <v>1884.25</v>
      </c>
      <c r="E13" s="8" t="n">
        <v>4308</v>
      </c>
      <c r="F13" s="8" t="n">
        <v>169500</v>
      </c>
      <c r="G13" s="9">
        <f>E13+F13</f>
        <v/>
      </c>
      <c r="H13" s="9">
        <f>G13*(1+$C$2)</f>
        <v/>
      </c>
      <c r="I13" s="9">
        <f>H13-G13</f>
        <v/>
      </c>
      <c r="J13" s="7" t="inlineStr">
        <is>
          <t>Discos diamantados, ponteiros SDS, sacos de ráfia</t>
        </is>
      </c>
      <c r="K13" s="7" t="inlineStr">
        <is>
          <t>Planilha real (apicoamento)</t>
        </is>
      </c>
    </row>
    <row r="14">
      <c r="A14" s="6" t="inlineStr">
        <is>
          <t>3.02</t>
        </is>
      </c>
      <c r="B14" s="7" t="inlineStr">
        <is>
          <t>Retirada de refletores existentes</t>
        </is>
      </c>
      <c r="C14" s="6" t="inlineStr">
        <is>
          <t>vb</t>
        </is>
      </c>
      <c r="D14" s="6" t="n">
        <v>1</v>
      </c>
      <c r="E14" s="8" t="n">
        <v>15600</v>
      </c>
      <c r="F14" s="8" t="n">
        <v>7800</v>
      </c>
      <c r="G14" s="9">
        <f>E14+F14</f>
        <v/>
      </c>
      <c r="H14" s="9">
        <f>G14*(1+$C$2)</f>
        <v/>
      </c>
      <c r="I14" s="9">
        <f>H14-G14</f>
        <v/>
      </c>
      <c r="J14" s="7" t="inlineStr">
        <is>
          <t>R$ 300/luminária (planilha real)</t>
        </is>
      </c>
      <c r="K14" s="7" t="inlineStr">
        <is>
          <t>52 × R$ 150 (planilha real)</t>
        </is>
      </c>
    </row>
    <row r="15">
      <c r="A15" s="6" t="inlineStr">
        <is>
          <t>3.03</t>
        </is>
      </c>
      <c r="B15" s="7" t="inlineStr">
        <is>
          <t>Demolição de marquise metálica</t>
        </is>
      </c>
      <c r="C15" s="6" t="inlineStr">
        <is>
          <t>unid.</t>
        </is>
      </c>
      <c r="D15" s="6" t="n">
        <v>1</v>
      </c>
      <c r="E15" s="8" t="n">
        <v>990</v>
      </c>
      <c r="F15" s="8" t="n">
        <v>2500</v>
      </c>
      <c r="G15" s="9">
        <f>E15+F15</f>
        <v/>
      </c>
      <c r="H15" s="9">
        <f>G15*(1+$C$2)</f>
        <v/>
      </c>
      <c r="I15" s="9">
        <f>H15-G15</f>
        <v/>
      </c>
      <c r="J15" s="7" t="inlineStr">
        <is>
          <t>Discos de corte e oxicorte</t>
        </is>
      </c>
      <c r="K15" s="7" t="inlineStr">
        <is>
          <t>Planilha real</t>
        </is>
      </c>
    </row>
    <row r="16">
      <c r="A16" s="6" t="inlineStr">
        <is>
          <t>3.04</t>
        </is>
      </c>
      <c r="B16" s="7" t="inlineStr">
        <is>
          <t xml:space="preserve">Desativação de instalações elétricas existentes </t>
        </is>
      </c>
      <c r="C16" s="6" t="inlineStr">
        <is>
          <t>vb</t>
        </is>
      </c>
      <c r="D16" s="6" t="n">
        <v>1</v>
      </c>
      <c r="E16" s="8" t="n">
        <v>450</v>
      </c>
      <c r="F16" s="8" t="n">
        <v>10000</v>
      </c>
      <c r="G16" s="9">
        <f>E16+F16</f>
        <v/>
      </c>
      <c r="H16" s="9">
        <f>G16*(1+$C$2)</f>
        <v/>
      </c>
      <c r="I16" s="9">
        <f>H16-G16</f>
        <v/>
      </c>
      <c r="J16" s="7" t="inlineStr">
        <is>
          <t>Fitas, terminais, conectores</t>
        </is>
      </c>
      <c r="K16" s="7" t="inlineStr">
        <is>
          <t>Planilha real</t>
        </is>
      </c>
    </row>
    <row r="17">
      <c r="A17" s="6" t="inlineStr">
        <is>
          <t>3.05</t>
        </is>
      </c>
      <c r="B17" s="7" t="inlineStr">
        <is>
          <t>Execução de rasgos em piso e parede para passagem de tubulações</t>
        </is>
      </c>
      <c r="C17" s="6" t="inlineStr">
        <is>
          <t>vb</t>
        </is>
      </c>
      <c r="D17" s="6" t="n">
        <v>1</v>
      </c>
      <c r="E17" s="8" t="n">
        <v>750</v>
      </c>
      <c r="F17" s="8" t="n">
        <v>12000</v>
      </c>
      <c r="G17" s="9">
        <f>E17+F17</f>
        <v/>
      </c>
      <c r="H17" s="9">
        <f>G17*(1+$C$2)</f>
        <v/>
      </c>
      <c r="I17" s="9">
        <f>H17-G17</f>
        <v/>
      </c>
      <c r="J17" s="7" t="inlineStr">
        <is>
          <t>Discos diamantados + argamassa de fechamento</t>
        </is>
      </c>
      <c r="K17" s="7" t="inlineStr">
        <is>
          <t>300 × R$ 40 (planilha real)</t>
        </is>
      </c>
    </row>
    <row r="18">
      <c r="A18" s="6" t="inlineStr">
        <is>
          <t>3.06</t>
        </is>
      </c>
      <c r="B18" s="7" t="inlineStr">
        <is>
          <t xml:space="preserve">Caçamba </t>
        </is>
      </c>
      <c r="C18" s="6" t="inlineStr">
        <is>
          <t>vb.</t>
        </is>
      </c>
      <c r="D18" s="6" t="n">
        <v>1</v>
      </c>
      <c r="E18" s="8" t="n">
        <v>6240</v>
      </c>
      <c r="F18" s="8" t="n">
        <v>0</v>
      </c>
      <c r="G18" s="9">
        <f>E18+F18</f>
        <v/>
      </c>
      <c r="H18" s="9">
        <f>G18*(1+$C$2)</f>
        <v/>
      </c>
      <c r="I18" s="9">
        <f>H18-G18</f>
        <v/>
      </c>
      <c r="J18" s="7" t="inlineStr">
        <is>
          <t>13 caçambas 5 m³ × R$ 480 (≈ 61 m³ de entulho)</t>
        </is>
      </c>
      <c r="K18" s="7" t="inlineStr"/>
    </row>
    <row r="19">
      <c r="A19" s="6" t="inlineStr">
        <is>
          <t>7.01</t>
        </is>
      </c>
      <c r="B19" s="7" t="inlineStr">
        <is>
          <t>Instalação de tela plática anti passáros na torre.</t>
        </is>
      </c>
      <c r="C19" s="6" t="inlineStr">
        <is>
          <t>m²</t>
        </is>
      </c>
      <c r="D19" s="6" t="n">
        <v>50</v>
      </c>
      <c r="E19" s="8" t="n">
        <v>2530</v>
      </c>
      <c r="F19" s="8" t="n">
        <v>25000</v>
      </c>
      <c r="G19" s="9">
        <f>E19+F19</f>
        <v/>
      </c>
      <c r="H19" s="9">
        <f>G19*(1+$C$2)</f>
        <v/>
      </c>
      <c r="I19" s="9">
        <f>H19-G19</f>
        <v/>
      </c>
      <c r="J19" s="7" t="inlineStr">
        <is>
          <t>Tela + kit de fixação (55 m² c/ perda)</t>
        </is>
      </c>
      <c r="K19" s="7" t="inlineStr">
        <is>
          <t>50 × R$ 500 (planilha real – CONFIRMAR unidade)</t>
        </is>
      </c>
    </row>
    <row r="20">
      <c r="A20" s="6" t="inlineStr">
        <is>
          <t>7.02</t>
        </is>
      </c>
      <c r="B20" s="7" t="inlineStr">
        <is>
          <t>Fechamento da fachada externa em tijolo de vidro, incolor com ventilação.</t>
        </is>
      </c>
      <c r="C20" s="6" t="inlineStr">
        <is>
          <t>m²</t>
        </is>
      </c>
      <c r="D20" s="6" t="n">
        <v>11</v>
      </c>
      <c r="E20" s="8" t="n">
        <v>15721</v>
      </c>
      <c r="F20" s="8" t="n">
        <v>1320</v>
      </c>
      <c r="G20" s="9">
        <f>E20+F20</f>
        <v/>
      </c>
      <c r="H20" s="9">
        <f>G20*(1+$C$2)</f>
        <v/>
      </c>
      <c r="I20" s="9">
        <f>H20-G20</f>
        <v/>
      </c>
      <c r="J20" s="7" t="inlineStr">
        <is>
          <t>303 tijolos de vidro ventilados + barras CA-60 + argamassa + espaçadores</t>
        </is>
      </c>
      <c r="K20" s="7" t="inlineStr">
        <is>
          <t>11 × R$ 120 (planilha real)</t>
        </is>
      </c>
    </row>
    <row r="21">
      <c r="A21" s="6" t="inlineStr">
        <is>
          <t>7.03</t>
        </is>
      </c>
      <c r="B21" s="7" t="inlineStr">
        <is>
          <t>Fechamento da fachada externa (lado do estacionamento) em tijolo de vidro , incolor.</t>
        </is>
      </c>
      <c r="C21" s="6" t="inlineStr">
        <is>
          <t>m²</t>
        </is>
      </c>
      <c r="D21" s="6" t="n">
        <v>5</v>
      </c>
      <c r="E21" s="8" t="n">
        <v>3688</v>
      </c>
      <c r="F21" s="8" t="n">
        <v>600</v>
      </c>
      <c r="G21" s="9">
        <f>E21+F21</f>
        <v/>
      </c>
      <c r="H21" s="9">
        <f>G21*(1+$C$2)</f>
        <v/>
      </c>
      <c r="I21" s="9">
        <f>H21-G21</f>
        <v/>
      </c>
      <c r="J21" s="7" t="inlineStr">
        <is>
          <t>138 tijolos ondulados + barras + argamassa</t>
        </is>
      </c>
      <c r="K21" s="7" t="inlineStr">
        <is>
          <t>5 × R$ 120 (planilha real)</t>
        </is>
      </c>
    </row>
    <row r="22">
      <c r="A22" s="6" t="inlineStr">
        <is>
          <t>7.04</t>
        </is>
      </c>
      <c r="B22" s="7" t="inlineStr">
        <is>
          <t>Chapa de ferro perfurada - furo redondo (moeda), para ocultar infra estruturas e condensadores do ar condicionado. Com p</t>
        </is>
      </c>
      <c r="C22" s="6" t="inlineStr">
        <is>
          <t>m²</t>
        </is>
      </c>
      <c r="D22" s="6" t="n">
        <v>80</v>
      </c>
      <c r="E22" s="8" t="n">
        <v>46974</v>
      </c>
      <c r="F22" s="8" t="n">
        <v>36000</v>
      </c>
      <c r="G22" s="9">
        <f>E22+F22</f>
        <v/>
      </c>
      <c r="H22" s="9">
        <f>G22*(1+$C$2)</f>
        <v/>
      </c>
      <c r="I22" s="9">
        <f>H22-G22</f>
        <v/>
      </c>
      <c r="J22" s="7" t="inlineStr">
        <is>
          <t>1.125 kg chapa perfurada (SINAPI 43105) + metalon, cantoneira, chumbadores, fundo, PU, solda</t>
        </is>
      </c>
      <c r="K22" s="7" t="inlineStr">
        <is>
          <t>Planilha real (R$ 450/m²)</t>
        </is>
      </c>
    </row>
    <row r="23">
      <c r="A23" s="6" t="inlineStr">
        <is>
          <t>7.05</t>
        </is>
      </c>
      <c r="B23" s="7" t="inlineStr">
        <is>
          <t>Fechamento muro fachada principal em vidro temperado incolor e estrutura de aluminio com pintura eletrostática cor preto</t>
        </is>
      </c>
      <c r="C23" s="6" t="inlineStr">
        <is>
          <t>m²</t>
        </is>
      </c>
      <c r="D23" s="6" t="n">
        <v>110</v>
      </c>
      <c r="E23" s="8" t="n">
        <v>86438</v>
      </c>
      <c r="F23" s="8" t="n">
        <v>13200</v>
      </c>
      <c r="G23" s="9">
        <f>E23+F23</f>
        <v/>
      </c>
      <c r="H23" s="9">
        <f>G23*(1+$C$2)</f>
        <v/>
      </c>
      <c r="I23" s="9">
        <f>H23-G23</f>
        <v/>
      </c>
      <c r="J23" s="7" t="inlineStr">
        <is>
          <t>Vidro temperado 10 mm (SINAPI 10507) + perfil alumínio preto + ferragens portões + silicone</t>
        </is>
      </c>
      <c r="K23" s="7" t="inlineStr">
        <is>
          <t>Instalação vidraçaria ≈ R$ 120/m² (estimativa – cotar fornecedor)</t>
        </is>
      </c>
    </row>
    <row r="24">
      <c r="A24" s="6" t="inlineStr">
        <is>
          <t>9.02</t>
        </is>
      </c>
      <c r="B24" s="7" t="inlineStr">
        <is>
          <t xml:space="preserve">Refletores corpo de alumínio injetado e vidro temperado) com iluminação uniforme (wall washer) em led 80w ; ângulo 30°; </t>
        </is>
      </c>
      <c r="C24" s="6" t="inlineStr">
        <is>
          <t>unid.</t>
        </is>
      </c>
      <c r="D24" s="6" t="n">
        <v>16</v>
      </c>
      <c r="E24" s="8" t="n">
        <v>1600</v>
      </c>
      <c r="F24" s="8" t="n">
        <v>560</v>
      </c>
      <c r="G24" s="9">
        <f>E24+F24</f>
        <v/>
      </c>
      <c r="H24" s="9">
        <f>G24*(1+$C$2)</f>
        <v/>
      </c>
      <c r="I24" s="9">
        <f>H24-G24</f>
        <v/>
      </c>
      <c r="J24" s="7" t="inlineStr">
        <is>
          <t>16 × R$ 100 (planilha real)</t>
        </is>
      </c>
      <c r="K24" s="7" t="inlineStr">
        <is>
          <t>16 × R$ 35 (planilha real)</t>
        </is>
      </c>
    </row>
    <row r="25">
      <c r="A25" s="6" t="inlineStr">
        <is>
          <t>9.04</t>
        </is>
      </c>
      <c r="B25" s="7" t="inlineStr">
        <is>
          <t>Refletores corpo de alumínio injetado e vidro temperado) com iluminação uniforme (wall washer) em led 150w ; ópticas pad</t>
        </is>
      </c>
      <c r="C25" s="6" t="inlineStr">
        <is>
          <t>unid.</t>
        </is>
      </c>
      <c r="D25" s="6" t="n">
        <v>22</v>
      </c>
      <c r="E25" s="8" t="n">
        <v>2200</v>
      </c>
      <c r="F25" s="8" t="n">
        <v>770</v>
      </c>
      <c r="G25" s="9">
        <f>E25+F25</f>
        <v/>
      </c>
      <c r="H25" s="9">
        <f>G25*(1+$C$2)</f>
        <v/>
      </c>
      <c r="I25" s="9">
        <f>H25-G25</f>
        <v/>
      </c>
      <c r="J25" s="7" t="inlineStr">
        <is>
          <t>22 × R$ 100 (planilha real)</t>
        </is>
      </c>
      <c r="K25" s="7" t="inlineStr">
        <is>
          <t>22 × R$ 35 (planilha real)</t>
        </is>
      </c>
    </row>
    <row r="26">
      <c r="A26" s="6" t="inlineStr">
        <is>
          <t>9.06</t>
        </is>
      </c>
      <c r="B26" s="7" t="inlineStr">
        <is>
          <t xml:space="preserve">Refletores corpo de alumínio injetado e vidro temperado) com iluminação uniforme (wall washer) em led 80w ; ângulo 30°; </t>
        </is>
      </c>
      <c r="C26" s="6" t="inlineStr">
        <is>
          <t>unid.</t>
        </is>
      </c>
      <c r="D26" s="6" t="n">
        <v>14</v>
      </c>
      <c r="E26" s="8" t="n">
        <v>1400</v>
      </c>
      <c r="F26" s="8" t="n">
        <v>490</v>
      </c>
      <c r="G26" s="9">
        <f>E26+F26</f>
        <v/>
      </c>
      <c r="H26" s="9">
        <f>G26*(1+$C$2)</f>
        <v/>
      </c>
      <c r="I26" s="9">
        <f>H26-G26</f>
        <v/>
      </c>
      <c r="J26" s="7" t="inlineStr">
        <is>
          <t>14 × R$ 100 (planilha real)</t>
        </is>
      </c>
      <c r="K26" s="7" t="inlineStr">
        <is>
          <t>14 × R$ 35 (planilha real)</t>
        </is>
      </c>
    </row>
    <row r="27">
      <c r="A27" s="6" t="inlineStr">
        <is>
          <t>10.01</t>
        </is>
      </c>
      <c r="B27" s="7" t="inlineStr">
        <is>
          <t>Aplicação de massa corrida</t>
        </is>
      </c>
      <c r="C27" s="6" t="inlineStr">
        <is>
          <t>vb</t>
        </is>
      </c>
      <c r="D27" s="6" t="n">
        <v>1</v>
      </c>
      <c r="E27" s="8" t="n">
        <v>535</v>
      </c>
      <c r="F27" s="8" t="n">
        <v>2000</v>
      </c>
      <c r="G27" s="9">
        <f>E27+F27</f>
        <v/>
      </c>
      <c r="H27" s="9">
        <f>G27*(1+$C$2)</f>
        <v/>
      </c>
      <c r="I27" s="9">
        <f>H27-G27</f>
        <v/>
      </c>
      <c r="J27" s="7" t="inlineStr">
        <is>
          <t>Massa acrílica + lixas (80 m²)</t>
        </is>
      </c>
      <c r="K27" s="7" t="inlineStr">
        <is>
          <t>80 × R$ 25 (planilha real)</t>
        </is>
      </c>
    </row>
    <row r="28">
      <c r="A28" s="6" t="inlineStr">
        <is>
          <t>10.02</t>
        </is>
      </c>
      <c r="B28" s="7" t="inlineStr">
        <is>
          <t>Pintura - Acrílico Fosco Branco rende muito (Coral)</t>
        </is>
      </c>
      <c r="C28" s="6" t="inlineStr">
        <is>
          <t>vb</t>
        </is>
      </c>
      <c r="D28" s="6" t="n">
        <v>1</v>
      </c>
      <c r="E28" s="8" t="n">
        <v>696</v>
      </c>
      <c r="F28" s="8" t="n">
        <v>2000</v>
      </c>
      <c r="G28" s="9">
        <f>E28+F28</f>
        <v/>
      </c>
      <c r="H28" s="9">
        <f>G28*(1+$C$2)</f>
        <v/>
      </c>
      <c r="I28" s="9">
        <f>H28-G28</f>
        <v/>
      </c>
      <c r="J28" s="7" t="inlineStr">
        <is>
          <t>Tinta acrílica Coral 18 L + selador</t>
        </is>
      </c>
      <c r="K28" s="7" t="inlineStr">
        <is>
          <t>80 × R$ 25 (planilha real)</t>
        </is>
      </c>
    </row>
    <row r="29">
      <c r="A29" s="6" t="inlineStr">
        <is>
          <t>10.03</t>
        </is>
      </c>
      <c r="B29" s="7" t="inlineStr">
        <is>
          <t>Pintura dos caixilhos e portas de ferro, existentes em esmalte sintético cor preta, sobre fundo antiferruginoso.</t>
        </is>
      </c>
      <c r="C29" s="6" t="inlineStr">
        <is>
          <t>vb</t>
        </is>
      </c>
      <c r="D29" s="6" t="n">
        <v>1</v>
      </c>
      <c r="E29" s="8" t="n">
        <v>8354</v>
      </c>
      <c r="F29" s="8" t="n">
        <v>45500</v>
      </c>
      <c r="G29" s="9">
        <f>E29+F29</f>
        <v/>
      </c>
      <c r="H29" s="9">
        <f>G29*(1+$C$2)</f>
        <v/>
      </c>
      <c r="I29" s="9">
        <f>H29-G29</f>
        <v/>
      </c>
      <c r="J29" s="7" t="inlineStr">
        <is>
          <t>Fundo antiferruginoso, esmalte preto, thinner, lixas, 20 m² de vidro de reposição, massa</t>
        </is>
      </c>
      <c r="K29" s="7" t="inlineStr">
        <is>
          <t>130 × R$ 350 (planilha real)</t>
        </is>
      </c>
    </row>
    <row r="30">
      <c r="A30" s="6" t="inlineStr">
        <is>
          <t>10.04</t>
        </is>
      </c>
      <c r="B30" s="7" t="inlineStr">
        <is>
          <t>Pintura de hidrantes existentes, elementos de incêndio e portas corta fogo existentes - vermelho bombeiro</t>
        </is>
      </c>
      <c r="C30" s="6" t="inlineStr">
        <is>
          <t>vb</t>
        </is>
      </c>
      <c r="D30" s="6" t="n">
        <v>1</v>
      </c>
      <c r="E30" s="8" t="n">
        <v>1025</v>
      </c>
      <c r="F30" s="8" t="n">
        <v>4500</v>
      </c>
      <c r="G30" s="9">
        <f>E30+F30</f>
        <v/>
      </c>
      <c r="H30" s="9">
        <f>G30*(1+$C$2)</f>
        <v/>
      </c>
      <c r="I30" s="9">
        <f>H30-G30</f>
        <v/>
      </c>
      <c r="J30" s="7" t="inlineStr">
        <is>
          <t>Esmalte vermelho segurança + fundo</t>
        </is>
      </c>
      <c r="K30" s="7" t="inlineStr">
        <is>
          <t>Planilha real (2 portas CF, 2 hidrantes, 2 recalques, tubulação, corrimão)</t>
        </is>
      </c>
    </row>
    <row r="31">
      <c r="A31" s="6" t="inlineStr">
        <is>
          <t>12.01</t>
        </is>
      </c>
      <c r="B31" s="7" t="inlineStr">
        <is>
          <t>Revestimento fachadas externas em FULGET cor cinza médio, com juntas de dilatação em alumínio 1" e aplicação de resina a</t>
        </is>
      </c>
      <c r="C31" s="6" t="inlineStr">
        <is>
          <t>m²</t>
        </is>
      </c>
      <c r="D31" s="6" t="n">
        <v>1830.4</v>
      </c>
      <c r="E31" s="8" t="n">
        <v>122303</v>
      </c>
      <c r="F31" s="8" t="n">
        <v>479420</v>
      </c>
      <c r="G31" s="9">
        <f>E31+F31</f>
        <v/>
      </c>
      <c r="H31" s="9">
        <f>G31*(1+$C$2)</f>
        <v/>
      </c>
      <c r="I31" s="9">
        <f>H31-G31</f>
        <v/>
      </c>
      <c r="J31" s="7" t="inlineStr">
        <is>
          <t>Chapisco, reboco 2,5 cm (cimento, cal, areia, aditivos), granilha, cimento branco, juntas alumínio 1", resina acrílica, limpeza, tela de reforço</t>
        </is>
      </c>
      <c r="K31" s="7" t="inlineStr">
        <is>
          <t>Fulget 1.830,4 × R$ 100 + reboco 1.830,4 × R$ 161,92 (planilha real)</t>
        </is>
      </c>
    </row>
    <row r="32">
      <c r="A32" s="6" t="inlineStr">
        <is>
          <t>12.02</t>
        </is>
      </c>
      <c r="B32" s="7" t="inlineStr">
        <is>
          <t>Revestimento da Torre em FULGET cinza claro. com juntas de dilatação em alumínio 1" e aplicação de resina acrílica imper</t>
        </is>
      </c>
      <c r="C32" s="6" t="inlineStr">
        <is>
          <t>m²</t>
        </is>
      </c>
      <c r="D32" s="6" t="n">
        <v>53.83</v>
      </c>
      <c r="E32" s="8" t="n">
        <v>4000</v>
      </c>
      <c r="F32" s="8" t="n">
        <v>14099</v>
      </c>
      <c r="G32" s="9">
        <f>E32+F32</f>
        <v/>
      </c>
      <c r="H32" s="9">
        <f>G32*(1+$C$2)</f>
        <v/>
      </c>
      <c r="I32" s="9">
        <f>H32-G32</f>
        <v/>
      </c>
      <c r="J32" s="7" t="inlineStr">
        <is>
          <t>Idem 12.01 proporcional (53,83 m²)</t>
        </is>
      </c>
      <c r="K32" s="7" t="inlineStr">
        <is>
          <t>Fulget × R$ 100 + reboco × R$ 161,92 (planilha real)</t>
        </is>
      </c>
    </row>
    <row r="33">
      <c r="A33" s="6" t="inlineStr">
        <is>
          <t>12.03</t>
        </is>
      </c>
      <c r="B33" s="7" t="inlineStr">
        <is>
          <t>Revestimento externo da floreira em FULGET vermelho. com juntas de dilatação em alumínio 1" e aplicação de resina acríli</t>
        </is>
      </c>
      <c r="C33" s="6" t="inlineStr">
        <is>
          <t>m²</t>
        </is>
      </c>
      <c r="D33" s="6" t="n">
        <v>2</v>
      </c>
      <c r="E33" s="8" t="n">
        <v>1447</v>
      </c>
      <c r="F33" s="8" t="n">
        <v>524</v>
      </c>
      <c r="G33" s="9">
        <f>E33+F33</f>
        <v/>
      </c>
      <c r="H33" s="9">
        <f>G33*(1+$C$2)</f>
        <v/>
      </c>
      <c r="I33" s="9">
        <f>H33-G33</f>
        <v/>
      </c>
      <c r="J33" s="7" t="inlineStr">
        <is>
          <t>Idem 12.01 + pigmento vermelho</t>
        </is>
      </c>
      <c r="K33" s="7" t="inlineStr">
        <is>
          <t>Fulget × R$ 100 + reboco × R$ 161,92 (planilha real)</t>
        </is>
      </c>
    </row>
    <row r="34">
      <c r="A34" s="6" t="inlineStr">
        <is>
          <t>12.04</t>
        </is>
      </c>
      <c r="B34" s="7" t="inlineStr">
        <is>
          <t>Moldura Cimentícia - EPS -100x30 mm.</t>
        </is>
      </c>
      <c r="C34" s="6" t="inlineStr">
        <is>
          <t>ml</t>
        </is>
      </c>
      <c r="D34" s="6" t="n">
        <v>1269</v>
      </c>
      <c r="E34" s="8" t="n">
        <v>38360</v>
      </c>
      <c r="F34" s="8" t="n">
        <v>31725</v>
      </c>
      <c r="G34" s="9">
        <f>E34+F34</f>
        <v/>
      </c>
      <c r="H34" s="9">
        <f>G34*(1+$C$2)</f>
        <v/>
      </c>
      <c r="I34" s="9">
        <f>H34-G34</f>
        <v/>
      </c>
      <c r="J34" s="7" t="inlineStr">
        <is>
          <t>1.396 barras moldura EPS + cola PU + tinta cinza claro</t>
        </is>
      </c>
      <c r="K34" s="7" t="inlineStr">
        <is>
          <t>1.269 × R$ 25 – instalação (planilha real)</t>
        </is>
      </c>
    </row>
    <row r="35">
      <c r="A35" s="6" t="inlineStr">
        <is>
          <t>12.05</t>
        </is>
      </c>
      <c r="B35" s="7" t="inlineStr">
        <is>
          <t>Painéis de ACM 4mm Vermelho Institucional São Camilo (Platibandas e Marquises),Subestrutura auxiliar em perfis tubulares</t>
        </is>
      </c>
      <c r="C35" s="6" t="inlineStr">
        <is>
          <t>m²</t>
        </is>
      </c>
      <c r="D35" s="6" t="n">
        <v>287.84</v>
      </c>
      <c r="E35" s="8" t="n">
        <v>82410</v>
      </c>
      <c r="F35" s="8" t="n">
        <v>43176</v>
      </c>
      <c r="G35" s="9">
        <f>E35+F35</f>
        <v/>
      </c>
      <c r="H35" s="9">
        <f>G35*(1+$C$2)</f>
        <v/>
      </c>
      <c r="I35" s="9">
        <f>H35-G35</f>
        <v/>
      </c>
      <c r="J35" s="7" t="inlineStr">
        <is>
          <t>332 m² ACM 4 mm vermelho + subestrutura metalon galv. + cantoneiras/chumbadores + rebites + silicone/PU + tarucel + VHB</t>
        </is>
      </c>
      <c r="K35" s="7" t="inlineStr">
        <is>
          <t>Instalação ≈ R$ 150/m² (estimativa – cotar fornecedor)</t>
        </is>
      </c>
    </row>
    <row r="36">
      <c r="A36" s="6" t="inlineStr">
        <is>
          <t>12.06</t>
        </is>
      </c>
      <c r="B36" s="7" t="inlineStr">
        <is>
          <t>Painéis de ACM 4mm Cinza Médio (Destaque Fachada Vista 1), Subestrutura auxiliar em perfis tubulares de alumínio/aço gal</t>
        </is>
      </c>
      <c r="C36" s="6" t="inlineStr">
        <is>
          <t>m²</t>
        </is>
      </c>
      <c r="D36" s="6" t="n">
        <v>23.47</v>
      </c>
      <c r="E36" s="8" t="n">
        <v>6856</v>
      </c>
      <c r="F36" s="8" t="n">
        <v>3521</v>
      </c>
      <c r="G36" s="9">
        <f>E36+F36</f>
        <v/>
      </c>
      <c r="H36" s="9">
        <f>G36*(1+$C$2)</f>
        <v/>
      </c>
      <c r="I36" s="9">
        <f>H36-G36</f>
        <v/>
      </c>
      <c r="J36" s="7" t="inlineStr">
        <is>
          <t>27 m² ACM 4 mm cinza + subestrutura e vedação</t>
        </is>
      </c>
      <c r="K36" s="7" t="inlineStr">
        <is>
          <t>Instalação ≈ R$ 150/m² (estimativa)</t>
        </is>
      </c>
    </row>
    <row r="37">
      <c r="A37" s="6" t="inlineStr">
        <is>
          <t>14.01</t>
        </is>
      </c>
      <c r="B37" s="7" t="inlineStr">
        <is>
          <t xml:space="preserve">Fornecimento de tela metálica galvanizada, malha ondulada (artístico) - malha 20 mm². </t>
        </is>
      </c>
      <c r="C37" s="6" t="inlineStr">
        <is>
          <t>unid.</t>
        </is>
      </c>
      <c r="D37" s="6" t="n">
        <v>3</v>
      </c>
      <c r="E37" s="8" t="n">
        <v>1794</v>
      </c>
      <c r="F37" s="8" t="n">
        <v>1500</v>
      </c>
      <c r="G37" s="9">
        <f>E37+F37</f>
        <v/>
      </c>
      <c r="H37" s="9">
        <f>G37*(1+$C$2)</f>
        <v/>
      </c>
      <c r="I37" s="9">
        <f>H37-G37</f>
        <v/>
      </c>
      <c r="J37" s="7" t="inlineStr">
        <is>
          <t>≈ 13,2 m² tela ondulada galv. + requadro</t>
        </is>
      </c>
      <c r="K37" s="7" t="inlineStr">
        <is>
          <t>3 × R$ 500 (planilha real)</t>
        </is>
      </c>
    </row>
    <row r="38">
      <c r="A38" s="6" t="inlineStr">
        <is>
          <t>18.01</t>
        </is>
      </c>
      <c r="B38" s="7" t="inlineStr">
        <is>
          <t xml:space="preserve">Sistema de impermeabilização liquida viaplus 7.000 , inclusos regularização, primer e proteção mecânica. </t>
        </is>
      </c>
      <c r="C38" s="6" t="inlineStr">
        <is>
          <t>m²</t>
        </is>
      </c>
      <c r="D38" s="6" t="n">
        <v>1884.25</v>
      </c>
      <c r="E38" s="8" t="n">
        <v>156447</v>
      </c>
      <c r="F38" s="8" t="n">
        <v>120592</v>
      </c>
      <c r="G38" s="9">
        <f>E38+F38</f>
        <v/>
      </c>
      <c r="H38" s="9">
        <f>G38*(1+$C$2)</f>
        <v/>
      </c>
      <c r="I38" s="9">
        <f>H38-G38</f>
        <v/>
      </c>
      <c r="J38" s="7" t="inlineStr">
        <is>
          <t>Viaplus 7000 (R$ 81,32/m², planilha real) + 46 rolos tela poliéster 0,73×10 m</t>
        </is>
      </c>
      <c r="K38" s="7" t="inlineStr">
        <is>
          <t>1.884,25 × R$ 64 (planilha real)</t>
        </is>
      </c>
    </row>
    <row r="39">
      <c r="A39" s="6" t="inlineStr">
        <is>
          <t>23.01</t>
        </is>
      </c>
      <c r="B39" s="7" t="inlineStr">
        <is>
          <t>Calhas / Rufos</t>
        </is>
      </c>
      <c r="C39" s="6" t="inlineStr">
        <is>
          <t>unid.</t>
        </is>
      </c>
      <c r="D39" s="6" t="n">
        <v>220</v>
      </c>
      <c r="E39" s="8" t="n">
        <v>41639</v>
      </c>
      <c r="F39" s="8" t="n">
        <v>12420</v>
      </c>
      <c r="G39" s="9">
        <f>E39+F39</f>
        <v/>
      </c>
      <c r="H39" s="9">
        <f>G39*(1+$C$2)</f>
        <v/>
      </c>
      <c r="I39" s="9">
        <f>H39-G39</f>
        <v/>
      </c>
      <c r="J39" s="7" t="inlineStr">
        <is>
          <t>160 m rufo (corte 1,00) + 60 m calha (corte 0,75) galvalume #22 + ~72 m condutores #26 + suportes, rebites, selante PU, pintura</t>
        </is>
      </c>
      <c r="K39" s="7" t="inlineStr">
        <is>
          <t>Telhadista ≈ R$ 45/m calha-rufo + R$ 35/m condutor (estimativa)</t>
        </is>
      </c>
    </row>
    <row r="40">
      <c r="A40" s="6" t="inlineStr">
        <is>
          <t>25.01</t>
        </is>
      </c>
      <c r="B40" s="7" t="inlineStr">
        <is>
          <t>Limpeza diária e Limpeza final da obra</t>
        </is>
      </c>
      <c r="C40" s="6" t="inlineStr">
        <is>
          <t>vb</t>
        </is>
      </c>
      <c r="D40" s="6" t="n">
        <v>1</v>
      </c>
      <c r="E40" s="8" t="n">
        <v>1000</v>
      </c>
      <c r="F40" s="8" t="n">
        <v>8000</v>
      </c>
      <c r="G40" s="9">
        <f>E40+F40</f>
        <v/>
      </c>
      <c r="H40" s="9">
        <f>G40*(1+$C$2)</f>
        <v/>
      </c>
      <c r="I40" s="9">
        <f>H40-G40</f>
        <v/>
      </c>
      <c r="J40" s="7" t="inlineStr">
        <is>
          <t>Produtos de limpeza, sacos, vassouras</t>
        </is>
      </c>
      <c r="K40" s="7" t="inlineStr">
        <is>
          <t>Limpeza diária e final (estimativa)</t>
        </is>
      </c>
    </row>
    <row r="41">
      <c r="A41" s="6" t="inlineStr">
        <is>
          <t>25.02</t>
        </is>
      </c>
      <c r="B41" s="7" t="inlineStr">
        <is>
          <t>Tapume de Proteção</t>
        </is>
      </c>
      <c r="C41" s="6" t="inlineStr">
        <is>
          <t>vb</t>
        </is>
      </c>
      <c r="D41" s="6" t="n">
        <v>1</v>
      </c>
      <c r="E41" s="8" t="n">
        <v>5880</v>
      </c>
      <c r="F41" s="8" t="n">
        <v>1500</v>
      </c>
      <c r="G41" s="9">
        <f>E41+F41</f>
        <v/>
      </c>
      <c r="H41" s="9">
        <f>G41*(1+$C$2)</f>
        <v/>
      </c>
      <c r="I41" s="9">
        <f>H41-G41</f>
        <v/>
      </c>
      <c r="J41" s="7" t="inlineStr">
        <is>
          <t>60 chapas compensado resinado 10 mm</t>
        </is>
      </c>
      <c r="K41" s="7" t="inlineStr">
        <is>
          <t>Montagem/desmontagem (estimativa)</t>
        </is>
      </c>
    </row>
    <row r="42">
      <c r="A42" s="6" t="inlineStr">
        <is>
          <t>25.03</t>
        </is>
      </c>
      <c r="B42" s="7" t="inlineStr">
        <is>
          <t>Lona plástica</t>
        </is>
      </c>
      <c r="C42" s="6" t="inlineStr">
        <is>
          <t>vb</t>
        </is>
      </c>
      <c r="D42" s="6" t="n">
        <v>1</v>
      </c>
      <c r="E42" s="8" t="n">
        <v>1742</v>
      </c>
      <c r="F42" s="8" t="n">
        <v>0</v>
      </c>
      <c r="G42" s="9">
        <f>E42+F42</f>
        <v/>
      </c>
      <c r="H42" s="9">
        <f>G42*(1+$C$2)</f>
        <v/>
      </c>
      <c r="I42" s="9">
        <f>H42-G42</f>
        <v/>
      </c>
      <c r="J42" s="7" t="inlineStr">
        <is>
          <t>622 m² lona preta 150 micras</t>
        </is>
      </c>
      <c r="K42" s="7" t="inlineStr"/>
    </row>
    <row r="43">
      <c r="A43" s="6" t="inlineStr">
        <is>
          <t>24.01</t>
        </is>
      </c>
      <c r="B43" s="7" t="inlineStr">
        <is>
          <t>Desinstalação e reinstalação de condensadoras de ar condicionado (recolhimento de gás, tubulação, suportes e recarga)</t>
        </is>
      </c>
      <c r="C43" s="6" t="inlineStr">
        <is>
          <t>unid.</t>
        </is>
      </c>
      <c r="D43" s="6" t="n">
        <v>10</v>
      </c>
      <c r="E43" s="8" t="n">
        <v>3500</v>
      </c>
      <c r="F43" s="8" t="n">
        <v>6000</v>
      </c>
      <c r="G43" s="9">
        <f>E43+F43</f>
        <v/>
      </c>
      <c r="H43" s="9">
        <f>G43*(1+$C$2)</f>
        <v/>
      </c>
      <c r="I43" s="9">
        <f>H43-G43</f>
        <v/>
      </c>
      <c r="J43" s="7" t="inlineStr">
        <is>
          <t>Tubo cobre/isolamento, carga de gás, suportes – 10 un × R$ 350</t>
        </is>
      </c>
      <c r="K43" s="7" t="inlineStr">
        <is>
          <t>10 un × R$ 600 (estimativa – CONFIRMAR quantidade)</t>
        </is>
      </c>
    </row>
    <row r="44">
      <c r="A44" s="6" t="inlineStr">
        <is>
          <t>24.02</t>
        </is>
      </c>
      <c r="B44" s="7" t="inlineStr">
        <is>
          <t>Rufo estacionamento em chapa galvalume #22 – com material e mão de obra</t>
        </is>
      </c>
      <c r="C44" s="6" t="inlineStr">
        <is>
          <t>m</t>
        </is>
      </c>
      <c r="D44" s="6" t="n">
        <v>37</v>
      </c>
      <c r="E44" s="8" t="n">
        <v>3815</v>
      </c>
      <c r="F44" s="8" t="n">
        <v>1480</v>
      </c>
      <c r="G44" s="9">
        <f>E44+F44</f>
        <v/>
      </c>
      <c r="H44" s="9">
        <f>G44*(1+$C$2)</f>
        <v/>
      </c>
      <c r="I44" s="9">
        <f>H44-G44</f>
        <v/>
      </c>
      <c r="J44" s="7" t="inlineStr">
        <is>
          <t>37 m × R$ 95 + selante/rebites</t>
        </is>
      </c>
      <c r="K44" s="7" t="inlineStr">
        <is>
          <t>37 m × R$ 40 (estimativa)</t>
        </is>
      </c>
    </row>
    <row r="45">
      <c r="A45" s="6" t="inlineStr">
        <is>
          <t>24.03</t>
        </is>
      </c>
      <c r="B45" s="7" t="inlineStr">
        <is>
          <t>Remoção da tubulação pluvial existente (manilha de barro) e substituição por PVC série R 100 mm – 10 descidas (3 barras de 6 m cada)</t>
        </is>
      </c>
      <c r="C45" s="6" t="inlineStr">
        <is>
          <t>vb</t>
        </is>
      </c>
      <c r="D45" s="6" t="n">
        <v>1</v>
      </c>
      <c r="E45" s="8" t="n">
        <v>7820</v>
      </c>
      <c r="F45" s="8" t="n">
        <v>10000</v>
      </c>
      <c r="G45" s="9">
        <f>E45+F45</f>
        <v/>
      </c>
      <c r="H45" s="9">
        <f>G45*(1+$C$2)</f>
        <v/>
      </c>
      <c r="I45" s="9">
        <f>H45-G45</f>
        <v/>
      </c>
      <c r="J45" s="7" t="inlineStr">
        <is>
          <t>30 barras PVC série R 100 mm + conexões + abraçadeiras + adesivo</t>
        </is>
      </c>
      <c r="K45" s="7" t="inlineStr">
        <is>
          <t>10 descidas × R$ 800 + remoção/recomposição R$ 2.000 (estimativa)</t>
        </is>
      </c>
    </row>
    <row r="46">
      <c r="A46" s="6" t="inlineStr">
        <is>
          <t>24.04</t>
        </is>
      </c>
      <c r="B46" s="7" t="inlineStr">
        <is>
          <t>Tratamento e limpeza da laje da torre</t>
        </is>
      </c>
      <c r="C46" s="6" t="inlineStr">
        <is>
          <t>vb</t>
        </is>
      </c>
      <c r="D46" s="6" t="n">
        <v>1</v>
      </c>
      <c r="E46" s="8" t="n">
        <v>500</v>
      </c>
      <c r="F46" s="8" t="n">
        <v>3000</v>
      </c>
      <c r="G46" s="9">
        <f>E46+F46</f>
        <v/>
      </c>
      <c r="H46" s="9">
        <f>G46*(1+$C$2)</f>
        <v/>
      </c>
      <c r="I46" s="9">
        <f>H46-G46</f>
        <v/>
      </c>
      <c r="J46" s="7" t="inlineStr">
        <is>
          <t>Produtos de limpeza/tratamento</t>
        </is>
      </c>
      <c r="K46" s="7" t="inlineStr">
        <is>
          <t>Planilha real</t>
        </is>
      </c>
    </row>
    <row r="47">
      <c r="A47" s="6" t="inlineStr">
        <is>
          <t>24.05</t>
        </is>
      </c>
      <c r="B47" s="7" t="inlineStr">
        <is>
          <t>Desmontagem e remontagem de plataforma de acesso às condensadoras (área externa dos alunos), inclusive pintura</t>
        </is>
      </c>
      <c r="C47" s="6" t="inlineStr">
        <is>
          <t>vb</t>
        </is>
      </c>
      <c r="D47" s="6" t="n">
        <v>1</v>
      </c>
      <c r="E47" s="8" t="n">
        <v>1500</v>
      </c>
      <c r="F47" s="8" t="n">
        <v>4000</v>
      </c>
      <c r="G47" s="9">
        <f>E47+F47</f>
        <v/>
      </c>
      <c r="H47" s="9">
        <f>G47*(1+$C$2)</f>
        <v/>
      </c>
      <c r="I47" s="9">
        <f>H47-G47</f>
        <v/>
      </c>
      <c r="J47" s="7" t="inlineStr">
        <is>
          <t>Fundo, esmalte/PU, thinner, lixas, parafusos/chumbadores</t>
        </is>
      </c>
      <c r="K47" s="7" t="inlineStr">
        <is>
          <t>Desmontagem, remontagem e pintura (estimativa)</t>
        </is>
      </c>
    </row>
    <row r="48">
      <c r="A48" s="6" t="inlineStr">
        <is>
          <t>24.06</t>
        </is>
      </c>
      <c r="B48" s="7" t="inlineStr">
        <is>
          <t>Restauração da cruz existente no topo da torre (tratamento de corrosão, massa epóxi, fundo e pintura)</t>
        </is>
      </c>
      <c r="C48" s="6" t="inlineStr">
        <is>
          <t>vb</t>
        </is>
      </c>
      <c r="D48" s="6" t="n">
        <v>1</v>
      </c>
      <c r="E48" s="8" t="n">
        <v>800</v>
      </c>
      <c r="F48" s="8" t="n">
        <v>2500</v>
      </c>
      <c r="G48" s="9">
        <f>E48+F48</f>
        <v/>
      </c>
      <c r="H48" s="9">
        <f>G48*(1+$C$2)</f>
        <v/>
      </c>
      <c r="I48" s="9">
        <f>H48-G48</f>
        <v/>
      </c>
      <c r="J48" s="7" t="inlineStr">
        <is>
          <t>Convertedor de ferrugem, massa epóxi, fundo, esmalte/PU, chumbadores</t>
        </is>
      </c>
      <c r="K48" s="7" t="inlineStr">
        <is>
          <t>Mão de obra em altura (estimativa)</t>
        </is>
      </c>
    </row>
    <row r="49">
      <c r="A49" s="6" t="inlineStr">
        <is>
          <t>24.07</t>
        </is>
      </c>
      <c r="B49" s="7" t="inlineStr">
        <is>
          <t>Demolição e execução de forro em drywall RU</t>
        </is>
      </c>
      <c r="C49" s="6" t="inlineStr">
        <is>
          <t>m²</t>
        </is>
      </c>
      <c r="D49" s="6" t="n">
        <v>80</v>
      </c>
      <c r="E49" s="8" t="n">
        <v>6240</v>
      </c>
      <c r="F49" s="8" t="n">
        <v>4160</v>
      </c>
      <c r="G49" s="9">
        <f>E49+F49</f>
        <v/>
      </c>
      <c r="H49" s="9">
        <f>G49*(1+$C$2)</f>
        <v/>
      </c>
      <c r="I49" s="9">
        <f>H49-G49</f>
        <v/>
      </c>
      <c r="J49" s="7" t="inlineStr">
        <is>
          <t>80 × R$ 78 (planilha real)</t>
        </is>
      </c>
      <c r="K49" s="7" t="inlineStr">
        <is>
          <t>80 × R$ 52 (planilha real)</t>
        </is>
      </c>
    </row>
    <row r="50">
      <c r="A50" s="6" t="inlineStr">
        <is>
          <t>24.08</t>
        </is>
      </c>
      <c r="B50" s="7" t="inlineStr">
        <is>
          <t>Remoção de moldura/peitoril existente</t>
        </is>
      </c>
      <c r="C50" s="6" t="inlineStr">
        <is>
          <t>ml</t>
        </is>
      </c>
      <c r="D50" s="6" t="n">
        <v>1269</v>
      </c>
      <c r="E50" s="8" t="n">
        <v>0</v>
      </c>
      <c r="F50" s="8" t="n">
        <v>12690</v>
      </c>
      <c r="G50" s="9">
        <f>E50+F50</f>
        <v/>
      </c>
      <c r="H50" s="9">
        <f>G50*(1+$C$2)</f>
        <v/>
      </c>
      <c r="I50" s="9">
        <f>H50-G50</f>
        <v/>
      </c>
      <c r="J50" s="7" t="inlineStr"/>
      <c r="K50" s="7" t="inlineStr">
        <is>
          <t>1.269 × R$ 10 (planilha real)</t>
        </is>
      </c>
    </row>
    <row r="51">
      <c r="A51" s="6" t="inlineStr">
        <is>
          <t>24.09</t>
        </is>
      </c>
      <c r="B51" s="7" t="inlineStr">
        <is>
          <t>Locação de andaime fachadeiro (montagem, desmontagem e tela) e plataformas elevatórias articulada e tesoura (com frete)</t>
        </is>
      </c>
      <c r="C51" s="6" t="inlineStr">
        <is>
          <t>vb</t>
        </is>
      </c>
      <c r="D51" s="6" t="n">
        <v>1</v>
      </c>
      <c r="E51" s="8" t="n">
        <v>204394</v>
      </c>
      <c r="F51" s="8" t="n">
        <v>0</v>
      </c>
      <c r="G51" s="9">
        <f>E51+F51</f>
        <v/>
      </c>
      <c r="H51" s="9">
        <f>G51*(1+$C$2)</f>
        <v/>
      </c>
      <c r="I51" s="9">
        <f>H51-G51</f>
        <v/>
      </c>
      <c r="J51" s="7" t="inlineStr">
        <is>
          <t>Andaime 1.062 m² × R$ 21 × 4 meses (SINAPI 20193) + montagem R$ 26/m² (SINAPI 97063) + tela fachadeira + PTA articulada 2 meses + tesoura 3 meses + fretes + guincho de coluna</t>
        </is>
      </c>
      <c r="K51" s="7" t="inlineStr"/>
    </row>
    <row r="52">
      <c r="A52" s="6" t="inlineStr">
        <is>
          <t>24.10</t>
        </is>
      </c>
      <c r="B52" s="7" t="inlineStr">
        <is>
          <t>Demolição e execução de pingadeiras (soleiras) de janelas em granito/mármore com friso – 130 peças</t>
        </is>
      </c>
      <c r="C52" s="6" t="inlineStr">
        <is>
          <t>ml</t>
        </is>
      </c>
      <c r="D52" s="6" t="n">
        <v>212</v>
      </c>
      <c r="E52" s="8" t="n">
        <v>18590</v>
      </c>
      <c r="F52" s="8" t="n">
        <v>11660</v>
      </c>
      <c r="G52" s="9">
        <f>E52+F52</f>
        <v/>
      </c>
      <c r="H52" s="9">
        <f>G52*(1+$C$2)</f>
        <v/>
      </c>
      <c r="I52" s="9">
        <f>H52-G52</f>
        <v/>
      </c>
      <c r="J52" s="7" t="inlineStr">
        <is>
          <t>212 ml pedra c/ friso ≈ R$ 85/ml + argamassa AC-III</t>
        </is>
      </c>
      <c r="K52" s="7" t="inlineStr">
        <is>
          <t>212 × R$ 55 (demolição + assentamento – estimativa)</t>
        </is>
      </c>
    </row>
    <row r="53">
      <c r="A53" s="6" t="inlineStr">
        <is>
          <t>24.11</t>
        </is>
      </c>
      <c r="B53" s="7" t="inlineStr">
        <is>
          <t>Soleira do muro de vidro (Rua Ranulfo) em granito/mármore – tampo 55 m + espelho 110 m</t>
        </is>
      </c>
      <c r="C53" s="6" t="inlineStr">
        <is>
          <t>ml</t>
        </is>
      </c>
      <c r="D53" s="6" t="n">
        <v>165</v>
      </c>
      <c r="E53" s="8" t="n">
        <v>7975</v>
      </c>
      <c r="F53" s="8" t="n">
        <v>6600</v>
      </c>
      <c r="G53" s="9">
        <f>E53+F53</f>
        <v/>
      </c>
      <c r="H53" s="9">
        <f>G53*(1+$C$2)</f>
        <v/>
      </c>
      <c r="I53" s="9">
        <f>H53-G53</f>
        <v/>
      </c>
      <c r="J53" s="7" t="inlineStr">
        <is>
          <t>55 ml tampo ≈ R$ 85 + 110 ml espelho ≈ R$ 30</t>
        </is>
      </c>
      <c r="K53" s="7" t="inlineStr">
        <is>
          <t>165 × R$ 40 (estimativa)</t>
        </is>
      </c>
    </row>
    <row r="54">
      <c r="A54" s="6" t="inlineStr">
        <is>
          <t>24.12</t>
        </is>
      </c>
      <c r="B54" s="7" t="inlineStr">
        <is>
          <t>EPI, EPC e treinamentos NR-35/NR-18 da equipe</t>
        </is>
      </c>
      <c r="C54" s="6" t="inlineStr">
        <is>
          <t>vb</t>
        </is>
      </c>
      <c r="D54" s="6" t="n">
        <v>1</v>
      </c>
      <c r="E54" s="8" t="n">
        <v>26300</v>
      </c>
      <c r="F54" s="8" t="n">
        <v>0</v>
      </c>
      <c r="G54" s="9">
        <f>E54+F54</f>
        <v/>
      </c>
      <c r="H54" s="9">
        <f>G54*(1+$C$2)</f>
        <v/>
      </c>
      <c r="I54" s="9">
        <f>H54-G54</f>
        <v/>
      </c>
      <c r="J54" s="7" t="inlineStr">
        <is>
          <t>Capacetes, cintos, talabartes, trava-quedas, linha de vida, PFF2, botas, uniformes, sinalização, extintores, treinamentos</t>
        </is>
      </c>
      <c r="K54" s="7" t="inlineStr"/>
    </row>
    <row r="55">
      <c r="A55" s="6" t="inlineStr">
        <is>
          <t>24.13</t>
        </is>
      </c>
      <c r="B55" s="7" t="inlineStr">
        <is>
          <t>Moldura cimentícia EPS 170×50 mm na platibanda – Vista 06 (inclusive pintura cinza médio)</t>
        </is>
      </c>
      <c r="C55" s="6" t="inlineStr">
        <is>
          <t>ml</t>
        </is>
      </c>
      <c r="D55" s="6" t="n">
        <v>17</v>
      </c>
      <c r="E55" s="8" t="n">
        <v>765</v>
      </c>
      <c r="F55" s="8" t="n">
        <v>425</v>
      </c>
      <c r="G55" s="9">
        <f>E55+F55</f>
        <v/>
      </c>
      <c r="H55" s="9">
        <f>G55*(1+$C$2)</f>
        <v/>
      </c>
      <c r="I55" s="9">
        <f>H55-G55</f>
        <v/>
      </c>
      <c r="J55" s="7" t="inlineStr">
        <is>
          <t>17 × R$ 45</t>
        </is>
      </c>
      <c r="K55" s="7" t="inlineStr">
        <is>
          <t>17 × R$ 25 (estimativa)</t>
        </is>
      </c>
    </row>
    <row r="56">
      <c r="A56" s="6" t="inlineStr">
        <is>
          <t>24.14</t>
        </is>
      </c>
      <c r="B56" s="7" t="inlineStr">
        <is>
          <t>Vista 06: estrutura metálica com chapa lisa (DET.07) + manutenção e pintura da passarela metálica e do rufo existentes</t>
        </is>
      </c>
      <c r="C56" s="6" t="inlineStr">
        <is>
          <t>vb</t>
        </is>
      </c>
      <c r="D56" s="6" t="n">
        <v>1</v>
      </c>
      <c r="E56" s="8" t="n">
        <v>2500</v>
      </c>
      <c r="F56" s="8" t="n">
        <v>3500</v>
      </c>
      <c r="G56" s="9">
        <f>E56+F56</f>
        <v/>
      </c>
      <c r="H56" s="9">
        <f>G56*(1+$C$2)</f>
        <v/>
      </c>
      <c r="I56" s="9">
        <f>H56-G56</f>
        <v/>
      </c>
      <c r="J56" s="7" t="inlineStr">
        <is>
          <t>Chapa lisa, perfis, fundo e tinta</t>
        </is>
      </c>
      <c r="K56" s="7" t="inlineStr">
        <is>
          <t>Fabricação/instalação + pintura (estimativa)</t>
        </is>
      </c>
    </row>
    <row r="57">
      <c r="B57" s="2" t="inlineStr">
        <is>
          <t>TOTAL</t>
        </is>
      </c>
      <c r="E57" s="10">
        <f>SUM(E5:E56)</f>
        <v/>
      </c>
      <c r="F57" s="10">
        <f>SUM(F5:F56)</f>
        <v/>
      </c>
      <c r="G57" s="10">
        <f>SUM(G5:G56)</f>
        <v/>
      </c>
      <c r="H57" s="10">
        <f>SUM(H5:H56)</f>
        <v/>
      </c>
      <c r="I57" s="10">
        <f>SUM(I5:I56)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2026-10-08T20:30:28Z</dcterms:created>
  <dcterms:modified xsi:type="dcterms:W3CDTF">2026-10-08T20:30:28Z</dcterms:modified>
</cp:coreProperties>
</file>